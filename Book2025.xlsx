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99F5A348-1D06-4C6C-9A34-814EDBCFFB5B}" xr6:coauthVersionLast="47" xr6:coauthVersionMax="47" xr10:uidLastSave="{00000000-0000-0000-0000-000000000000}"/>
  <bookViews>
    <workbookView xWindow="-120" yWindow="-120" windowWidth="20730" windowHeight="11160" tabRatio="947" firstSheet="11" activeTab="22"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J11" i="30" l="1"/>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C14" i="20" s="1"/>
  <c r="F4" i="14"/>
  <c r="D4" i="14"/>
  <c r="C13" i="20" s="1"/>
  <c r="F4" i="13"/>
  <c r="D4" i="13"/>
  <c r="C12" i="20" s="1"/>
  <c r="F4" i="12"/>
  <c r="D4" i="12"/>
  <c r="C11" i="20" s="1"/>
  <c r="F4" i="11"/>
  <c r="D4" i="11"/>
  <c r="C10" i="20" s="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10" i="20"/>
  <c r="E5" i="5"/>
  <c r="E13" i="20"/>
  <c r="E8" i="20"/>
  <c r="J5" i="21"/>
  <c r="K5" i="21" s="1"/>
  <c r="E18" i="20"/>
  <c r="E17" i="20"/>
  <c r="E5" i="22"/>
  <c r="E10" i="22"/>
</calcChain>
</file>

<file path=xl/sharedStrings.xml><?xml version="1.0" encoding="utf-8"?>
<sst xmlns="http://schemas.openxmlformats.org/spreadsheetml/2006/main" count="934" uniqueCount="357">
  <si>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</si>
  <si>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</si>
  <si>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</si>
  <si>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</si>
  <si>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</si>
  <si>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</si>
  <si>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</si>
  <si>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</si>
  <si>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</si>
  <si>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</si>
  <si>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</si>
  <si>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</si>
  <si>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</si>
  <si>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</si>
  <si>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</si>
  <si>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</si>
  <si>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</si>
  <si>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</si>
  <si>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</si>
  <si>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</si>
  <si>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</si>
  <si>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</si>
  <si>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</si>
  <si>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</si>
  <si>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</si>
  <si>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</si>
  <si>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</si>
  <si>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</si>
  <si>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</si>
  <si>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</si>
  <si>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</si>
  <si>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</si>
  <si>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</si>
  <si>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</si>
  <si>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</si>
  <si>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</si>
  <si>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</si>
  <si>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</si>
  <si>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</si>
  <si>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</si>
  <si>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</si>
  <si>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</si>
  <si>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</si>
  <si>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</si>
  <si>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</si>
  <si>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</si>
  <si>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</si>
  <si>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</si>
  <si>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</si>
  <si>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</si>
  <si>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</si>
  <si>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</si>
  <si>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</si>
  <si>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</si>
  <si>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</si>
  <si>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</si>
  <si>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</si>
  <si>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</si>
  <si>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</si>
  <si>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</si>
  <si>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</si>
  <si>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</si>
  <si>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</si>
  <si>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</si>
  <si>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</si>
  <si>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</si>
  <si>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</si>
  <si>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</si>
  <si>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</si>
  <si>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</si>
  <si>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</si>
  <si>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</si>
  <si>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</si>
  <si>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</si>
  <si>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</si>
  <si>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</si>
  <si>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</si>
  <si>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</si>
  <si>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</si>
  <si>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</si>
  <si>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</si>
  <si>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</si>
  <si>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</si>
  <si>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</si>
  <si>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</si>
  <si>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</si>
  <si>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</si>
  <si>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</si>
  <si>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</si>
  <si>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</si>
  <si>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</si>
  <si>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</si>
  <si>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</si>
  <si>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</si>
  <si>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</si>
  <si>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</si>
  <si>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</si>
  <si>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</si>
  <si>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</si>
  <si>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</si>
  <si>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</si>
  <si>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</si>
  <si>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</si>
  <si>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</si>
  <si>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</si>
  <si>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</si>
  <si>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</si>
  <si>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</si>
  <si>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</si>
  <si>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</si>
  <si>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</si>
  <si>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</si>
  <si>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</si>
  <si>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</si>
  <si>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</si>
  <si>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</si>
  <si>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</si>
  <si>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</si>
  <si>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</si>
  <si>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</si>
  <si>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</si>
  <si>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</si>
  <si>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</si>
  <si>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</si>
  <si>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</si>
  <si>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</si>
  <si>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</si>
  <si>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</si>
  <si>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</si>
  <si>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</si>
  <si>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</si>
  <si>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</si>
  <si>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</si>
  <si>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</si>
  <si>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</si>
  <si>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</si>
  <si>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</si>
  <si>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</si>
  <si>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</si>
  <si>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</si>
  <si>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</si>
  <si>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</si>
  <si>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</si>
  <si>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</si>
  <si>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</si>
  <si>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</si>
  <si>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</si>
  <si>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</si>
  <si>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</si>
  <si>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</si>
  <si>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</si>
  <si>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</si>
  <si>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</si>
  <si>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</si>
  <si>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</si>
  <si>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</si>
  <si>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</si>
  <si>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</si>
  <si>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</si>
  <si>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</si>
  <si>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</si>
  <si>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</si>
  <si>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</si>
  <si>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</si>
  <si>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</si>
  <si>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</si>
  <si>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</si>
  <si>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</si>
  <si>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</si>
  <si>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</si>
  <si>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</si>
  <si>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</si>
  <si>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</si>
  <si>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</si>
  <si>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</si>
  <si>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</si>
  <si>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</si>
  <si>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</si>
  <si>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</si>
  <si>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</si>
  <si>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</si>
  <si>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</si>
  <si>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</si>
  <si>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</si>
  <si>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</si>
  <si>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</si>
  <si>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</si>
  <si>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</si>
  <si>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</si>
  <si>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</si>
  <si>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</si>
  <si>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</si>
  <si>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</si>
  <si>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</si>
  <si>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</si>
  <si>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</si>
  <si>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</si>
  <si>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</si>
  <si>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</si>
  <si>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</si>
  <si>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</si>
  <si>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</si>
  <si>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</si>
  <si>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</si>
  <si>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</si>
  <si>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</si>
  <si>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</si>
  <si>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</si>
  <si>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</si>
  <si>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</si>
  <si>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تحت حساب صيانة شهور يناير - فبراير - مارس /2025</t>
  </si>
  <si>
    <t>تحت حساب صيانة شهر 1/ 2025</t>
  </si>
  <si>
    <t>رصيد مرحل 2025</t>
  </si>
  <si>
    <t>د.عمرو</t>
  </si>
  <si>
    <t>تحت حساب صيانة شهر يناير  /2025</t>
  </si>
  <si>
    <t>تحت حساب شراء 2متر سلك + شكرتون (50جنيه)  لاصلاح اللمبة الخاصة بالباب الرئيسى بالاضافة الى مصنعية كهربائى 100 جنيه</t>
  </si>
  <si>
    <t>تحت حساب اكرامية لمحصل الكهرباء</t>
  </si>
  <si>
    <t>تحت حساب كهرباء شهر يناير</t>
  </si>
  <si>
    <t>أ/مصطفى</t>
  </si>
  <si>
    <t>تحت حساب صيانة شهر1 /2025</t>
  </si>
  <si>
    <t>تحت حساب صيانة شهر يناير /2025</t>
  </si>
  <si>
    <t>تحت حساب صيانة شهر فبراير /2025</t>
  </si>
  <si>
    <t>تحت حساب صيانة شهر مارس /2025</t>
  </si>
  <si>
    <t>تحت حساب صيانة شهر ابريل /2025</t>
  </si>
  <si>
    <t>تحت حساب صيانة شهر مايو /2025</t>
  </si>
  <si>
    <t>تحت حساب صيانة شهر يونية /2025</t>
  </si>
  <si>
    <t>تحت حساب صيانة شهر يوليو /2025</t>
  </si>
  <si>
    <t>تحت حساب صيانة شهر نوفمبر / 2025</t>
  </si>
  <si>
    <t>تحت حساب صيانة شهر ديسمبر /2025</t>
  </si>
  <si>
    <t>تحت حساب فاتورة المياه عن شهر يناير /2025</t>
  </si>
  <si>
    <t>تحت حساب اكرامية لمحصل المياه</t>
  </si>
  <si>
    <t>تحت حساب شراء كيس ايريال</t>
  </si>
  <si>
    <t>تحت حساب نظافة السلم لام احمد عن شهر يناير /2025</t>
  </si>
  <si>
    <t>تحت حساب اصلاح كالون الباب العمومى واصلاح تمام اغلاق الضرفة اليمنى وانا خارج من البيت</t>
  </si>
  <si>
    <t>تحت حساب كهربة خلفية المنزل</t>
  </si>
  <si>
    <t>تحت حساب صيانة شهرى يناير وفبراير /2025</t>
  </si>
  <si>
    <t>تحت حساب صيانة شهر يناير/2025</t>
  </si>
  <si>
    <t>تحت حساب صيانة شهر فبراير/2025</t>
  </si>
  <si>
    <t>تحت حساب صيانة شهر يولية /2025</t>
  </si>
  <si>
    <t>تحت حساب صيانة شهر اغسطس /2025</t>
  </si>
  <si>
    <t>تحت حساب صيانة شهر سبتمبر /2025</t>
  </si>
  <si>
    <t>تحت حساب صيانة شهر اكتوبر /2025</t>
  </si>
  <si>
    <t>تحت حساب صيانة شهر نوفمبر /2025</t>
  </si>
  <si>
    <t>تحت حساب صيانة شهرى فبراير ومارس /2025</t>
  </si>
  <si>
    <t>تحت حساب نظافة السلم لام احمد عن شهر فبراير /2025</t>
  </si>
  <si>
    <t>تحت حساب صيانة 3شهور 1،2،3 / 2025</t>
  </si>
  <si>
    <t>تحت حساب شراء وتغيير لمبة فوق جراج سعد</t>
  </si>
  <si>
    <t>تحت حساب صيانة الموتور نفخ البلالين</t>
  </si>
  <si>
    <t>عملية رقم (1) لسنة 2025 اصلاح وتغيير ماسورة الصرف 4متر الوسطى عند المدخل الرئيسى للعمارة</t>
  </si>
  <si>
    <t>آمال</t>
  </si>
  <si>
    <t>تحت حساب تكاليف عملية رقم (1) لسنة 2025 تغيير 4متر مواسير زهر بمواسير بلاستيك للصرف للدور الرابع والثالث بدل المواسير المسدودة بالمدخل الرئيسى للعمارة، حيث كانت المياه تخر منها بغزارة على حائط البيت</t>
  </si>
  <si>
    <t>كشف الدفع عملية 1</t>
  </si>
  <si>
    <t>معلومات</t>
  </si>
  <si>
    <t>تاجير الحبل 500 جنيه لوحده</t>
  </si>
  <si>
    <t>مواسير الزهر تباع  بالكيلو  14 جنيه للكيلو</t>
  </si>
  <si>
    <t>اصلاح وتغيير ماسورة الصرف 4متر الوسطى عند المدخل الرئيسى للعمارة</t>
  </si>
  <si>
    <t>تكلفة شراء اسمنت ابيض للعملية رقم (1)</t>
  </si>
  <si>
    <t>تحت حساب فاتورة المياه عن شهر مارس /2025</t>
  </si>
  <si>
    <t>معلهوش حاجة لانه حاسب على تصليح الماسورة الخاصة به ودفع 400 جنيه فى اصلاحها للسباك</t>
  </si>
  <si>
    <t>تحت حساب كهرباء شهر فبراير</t>
  </si>
  <si>
    <t>تحت حساب كهرباء شهر مارس</t>
  </si>
  <si>
    <t>تحت حساب نظافة السلم لام احمد عن شهر مارس /2025</t>
  </si>
  <si>
    <t>تحت حساب شراء لمبتين من بتاع الكهرباء عند المطافى واحدة باسم زهرا  18وات بضمان ست شهور وواحدة بدون ضمان 12 وات</t>
  </si>
  <si>
    <t>تحت حساب صيانة شهور ابريل - مايو - يونيو /2025</t>
  </si>
  <si>
    <t>تحت حساب استبدال لمبة سلم عند الدور الرابع بعد الارضى بلمبة اخرى مستعملة ملولوة</t>
  </si>
  <si>
    <t>تحت حساب شراء وتغيير حنفية النضافة بالمدخل الرئيسى بدل المسروقة</t>
  </si>
  <si>
    <t>تحت حساب كهرباء شهر ابريل /2025</t>
  </si>
  <si>
    <t>تحت حساب صيانة شهرى مارس و ابريل /2025</t>
  </si>
  <si>
    <t>حاج/ حسين</t>
  </si>
  <si>
    <t>م/منال</t>
  </si>
  <si>
    <t>13، 14</t>
  </si>
  <si>
    <t>تحت حساب صيانة شهور 1، 2، 3، 4 /2025</t>
  </si>
  <si>
    <t>تحت حساب صيانة شهرى ابريل و مايو /2025</t>
  </si>
  <si>
    <t>تحت حساب كهرباء شهر مايو /2025</t>
  </si>
  <si>
    <t>تحت حساب فاتورة المياه عن شهر مايو /2025</t>
  </si>
  <si>
    <t>تحت حساب نظافة السلم لام احمد عن شهر مايو /2025</t>
  </si>
  <si>
    <t>تحت حساب صيانة شهر يونيه /2025</t>
  </si>
  <si>
    <t>تحت حساب صيانة 3شهور 4، 5، 6 / 2025</t>
  </si>
  <si>
    <t>تحت حساب فاتورة المياه عن شهر يونيه /2025</t>
  </si>
  <si>
    <t>اكرامية لمحصل المياه</t>
  </si>
  <si>
    <t>تحت حساب كهرباء شهر يونيه /2025</t>
  </si>
  <si>
    <t>اكرامية لمحصل الكهرباء</t>
  </si>
  <si>
    <t>تحت حساب صيانة شهرى مايو و يونيه /2025</t>
  </si>
  <si>
    <t>تحت حساب صيانة شهور من 1- 6 /2025</t>
  </si>
  <si>
    <t>تحت حساب نظافة السلم لام احمد عن شهر ابريل /2025</t>
  </si>
  <si>
    <t>تحت حساب نظافة السلم لام احمد عن شهر يونية /2025</t>
  </si>
  <si>
    <t>تحت حساب صيانة شهر يوليه /2025</t>
  </si>
  <si>
    <t>تحت حساب صيانة شهور يوليو - اغسطس - سبتمبر /2025</t>
  </si>
  <si>
    <t>تحت حساب كهرباء شهر يوليو /2025</t>
  </si>
  <si>
    <t>تحت حساب فاتورة المياه عن شهر يوليو /2025</t>
  </si>
  <si>
    <t>تحت حساب صيانة شهرى يونية و يولية /2025</t>
  </si>
  <si>
    <t>تحت حساب صيانة شهور 5، 6، 7 /2025</t>
  </si>
  <si>
    <t>عن صيانة شهر يناير/2025</t>
  </si>
  <si>
    <t>لسنة 2025</t>
  </si>
  <si>
    <t>تحت حساب تنظيف الجنينة الخلفية للمنزل</t>
  </si>
  <si>
    <t>تحت حساب نظافة السلم لام احمد عن شهر يولية /2025</t>
  </si>
  <si>
    <t>تحت حساب فاتورة المياه عن شهر اغسطس /2025</t>
  </si>
  <si>
    <t>تحت حساب شراء لمبة للمدخل الرئيسى الباب الحديد</t>
  </si>
  <si>
    <t>تحت حساب شراء لمبة للترقة عند الحاجة سعاد الدور الرابع</t>
  </si>
  <si>
    <t>تحت حساب نظافة السلم لام احمد عن شهر اغسطس /2025</t>
  </si>
  <si>
    <t>اكرامية لام احمد لشراء اللمبة من اخر شارع عشرة</t>
  </si>
  <si>
    <t>تحت حساب شراء كيس ايريال صغير</t>
  </si>
  <si>
    <t>تحت حساب صيانة الموتور نفخ البلالين وتوسيع فتحة المياه المتصلة بالاوتوماتيك وكانت السبب فى صيق وصول المياه لللاوتوماتيك الذى لم يكن يفصل</t>
  </si>
  <si>
    <t>اكرامية لصبى الصنايعى</t>
  </si>
  <si>
    <t>اكرامية للسباك احمد</t>
  </si>
  <si>
    <t>تحت حساب كهرباء شهر سبتمبر /2025</t>
  </si>
  <si>
    <t>تحت حساب كهرباء شهر اغسطس /2025</t>
  </si>
  <si>
    <t>تحت حساب صيانة 3شهور 7، 8، 9 / 2025</t>
  </si>
  <si>
    <t>تحت حساب فاتورة المياه عن شهر سبتمبر /2025</t>
  </si>
  <si>
    <t>تحت حساب شراء كيس ايريال كيلو</t>
  </si>
  <si>
    <t>تحت حساب نظافة السلم لام احمد عن شهر سبتمبر /2025</t>
  </si>
  <si>
    <t>تحت حساب صيانة شهور اكتوبر - نوفمبر - ديسمبر /2025</t>
  </si>
  <si>
    <t>تحت حساب صيانة شهرى يوليو واغسطس /2025</t>
  </si>
  <si>
    <t>تحت حساب صيانة شهرى سبتمبر واكتوبر /2025</t>
  </si>
  <si>
    <t>تحت حساب فاتورة المياه عن شهر اكتوبر /2025</t>
  </si>
  <si>
    <t>تحت حساب نظافة السلم لام احمد عن شهر اكتوبر /2025</t>
  </si>
  <si>
    <t>تحت حساب كهرباء شهر اكتوبر /2025</t>
  </si>
  <si>
    <t>تحت حساب كهربة خلفية المنزل الشهر اللى فات سبتمبر</t>
  </si>
  <si>
    <t>تحت حساب شراء سلم للعمارة من التوحيد والنور</t>
  </si>
  <si>
    <t>ا/سامى</t>
  </si>
  <si>
    <t xml:space="preserve">تحت حساب صيانة سنة 2025 بالكامل </t>
  </si>
  <si>
    <t>تحت حساب الكهربائي لتركيب واسبدال طبق الكهرباء 40 وات بمدخل العمارة</t>
  </si>
  <si>
    <t>تحت حساب شراء طبق 40 وات لتركيبها بمدخل العمارة</t>
  </si>
  <si>
    <t>تحت حساب شراء طبق الكهرباء القديم لمدخل السلم لحسابى الشخصى</t>
  </si>
  <si>
    <t>10/11//25</t>
  </si>
  <si>
    <t>تحت حساب شراء لمبتين 25 وات لمدخل العمارة</t>
  </si>
  <si>
    <t>تحت حساب كهرباء شهر نوفمبر /2025</t>
  </si>
  <si>
    <t>اكرامية المحصل</t>
  </si>
  <si>
    <t>تحت حساب شراء 5 لمبات لد 9 وات  و 5 لمبات لد 40 وات  الواحدة ب 20 جنيه عن طريق ام احمد</t>
  </si>
  <si>
    <t>تحت حساب شراء 5 لمبات لد 9 وات الواحدة ب 10 جنيه عن طريق ام احمد</t>
  </si>
  <si>
    <t>تحت حساب مصنعية كهربائى لتصليح وتركيب لمبة لد بالدور الثانى والرابع بعد الارضى</t>
  </si>
  <si>
    <t>تحت حساب صيانة شهرى نوفمبر وديسمبر /2025</t>
  </si>
  <si>
    <t>تحت حساب صيانة سنة 2025 بالكامل ولم يتم حساب صيانة شقة  10 بالدور الثالث</t>
  </si>
  <si>
    <t>تحت حساب صيانة شهرى اغسطس و سبتمبر /2025</t>
  </si>
  <si>
    <t>تحت حساب نظافة السلم لام احمد عن شهر نوفمبر /2025</t>
  </si>
  <si>
    <t>تحت حساب صيانة شهور اكتوبر و نوفمبر وديسمبر /2025</t>
  </si>
  <si>
    <t>تحت حساب صيانة 3شهور 10 - 11 - 12 / 2025</t>
  </si>
  <si>
    <t>تحت حساب صيانة شهور من 7 - 12 /2025</t>
  </si>
  <si>
    <t>تحت حساب فاتورة المياه عن شهر نوفمبر /2025</t>
  </si>
  <si>
    <t>تحت حساب فاتورة المياه عن شهر ديسمبر /2025</t>
  </si>
  <si>
    <t>تحت حساب صيانة شهور 8، 9، 10، 11، 12 /2025</t>
  </si>
  <si>
    <t>تحت حساب صيانة الموتور تم تغيير الاوتوماتيك ايطالى سعره 1200جنيه ومصنعية 200جنيه ، بدل الاتوماتيك اللى اتحرق</t>
  </si>
  <si>
    <t>تحت حساب صيانة الموتور تركيب شيك بلف جديد ووصلات كتير + تركيب وصلة جديدة للموتور بتاع منال بحيث لا يتاثر موتور العمارة بموتور منال + مصنعية 600 جنيه</t>
  </si>
  <si>
    <t>تحت حساب شراء مفتاح باتشينو عند الموتور لسهولة فتح وقفل الكهرباء عن الموتور</t>
  </si>
  <si>
    <t>تحت حساب كهرباء شهر ديسمبر /2025</t>
  </si>
  <si>
    <t>تحت حساب رسوم الدفع للكهرباء عن طريق فودافون كاش</t>
  </si>
  <si>
    <t>تحت حساب كاش باك من فودافون كاش للدفع الالكترونى</t>
  </si>
  <si>
    <t>تحت حساب صيانة سنة 2025 بالكامل (تحاسب على نصف المبلغ لعدم الاشغال)</t>
  </si>
  <si>
    <t>حساب صيانة شهر يناير /2025</t>
  </si>
  <si>
    <t>حساب صيانة شهر فبراير /2025</t>
  </si>
  <si>
    <t>دائن</t>
  </si>
  <si>
    <t>مدين</t>
  </si>
  <si>
    <t>رسوم</t>
  </si>
  <si>
    <t>اجمالى</t>
  </si>
  <si>
    <t>رصيد</t>
  </si>
  <si>
    <t xml:space="preserve">تحت حساب صيانة سنة 2025 بالكامل وسنة 2026، 2027 بالكامل بوقع 450 جنيه للشقتين، بمعنى 150جنيه لشقة 10 الغير مشغولة و 300جنيه لشقة 6 المشغولة، ملحوظة: تم ايداع 5الآف جنيه فى حساب وائل فى البنك فى شهادة بعائد 14% سنوى يصرف كل شهر، و يستحق عنه كل شهر مبلغ 58جنيه سوف يتم اثباتها واضافتها فى ملف سنة 2026 </t>
  </si>
  <si>
    <t xml:space="preserve">تحت حساب نظافة السلم لام احمد عن شهر ديسمبر /2025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</si>
</sst>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E1AD-41F8-A2EC-7544ABADC350}"/>
            </c:ext>
          </c:extLst>
        </c:ser>
        <c:dLbls>
          <c:showLegendKey val="0"/>
          <c:showVal val="0"/>
          <c:showCatName val="0"/>
          <c:showSerName val="0"/>
          <c:showPercent val="0"/>
          <c:showBubbleSize val="0"/>
        </c:dLbls>
        <c:gapWidth val="150"/>
        <c:axId val="79121408"/>
        <c:axId val="79151872"/>
      </c:barChart>
      <c:dateAx>
        <c:axId val="79121408"/>
        <c:scaling>
          <c:orientation val="minMax"/>
        </c:scaling>
        <c:delete val="0"/>
        <c:axPos val="b"/>
        <c:numFmt formatCode="[$-1010000]yyyy/mm/dd;@" sourceLinked="1"/>
        <c:majorTickMark val="out"/>
        <c:minorTickMark val="none"/>
        <c:tickLblPos val="nextTo"/>
        <c:crossAx val="79151872"/>
        <c:crosses val="autoZero"/>
        <c:auto val="1"/>
        <c:lblOffset val="100"/>
        <c:baseTimeUnit val="days"/>
      </c:dateAx>
      <c:valAx>
        <c:axId val="79151872"/>
        <c:scaling>
          <c:orientation val="minMax"/>
        </c:scaling>
        <c:delete val="0"/>
        <c:axPos val="l"/>
        <c:majorGridlines/>
        <c:numFmt formatCode="General" sourceLinked="1"/>
        <c:majorTickMark val="out"/>
        <c:minorTickMark val="none"/>
        <c:tickLblPos val="nextTo"/>
        <c:crossAx val="7912140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ColWidth="9.125"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F8" sqref="F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255</v>
      </c>
      <c r="D2" s="99"/>
      <c r="E2" s="99"/>
      <c r="F2" s="99"/>
      <c r="G2" s="99"/>
      <c r="H2" s="99"/>
      <c r="I2" s="99"/>
      <c r="J2" s="99"/>
      <c r="K2" s="99"/>
      <c r="L2" s="99"/>
      <c r="M2" s="99"/>
      <c r="N2" s="99"/>
      <c r="O2" s="19"/>
    </row>
    <row r="3" spans="1:17" ht="20.25" x14ac:dyDescent="0.25">
      <c r="C3" s="83"/>
      <c r="F3" s="100" t="s">
        <v>248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252</v>
      </c>
    </row>
    <row r="5" spans="1:17" ht="18" x14ac:dyDescent="0.25">
      <c r="A5" s="8">
        <v>1</v>
      </c>
      <c r="B5" s="8">
        <v>1</v>
      </c>
      <c r="C5" s="91">
        <v>100</v>
      </c>
      <c r="D5" s="92">
        <v>100</v>
      </c>
      <c r="E5" s="94">
        <f>D5-C5</f>
        <v>0</v>
      </c>
      <c r="F5" s="9">
        <v>45736</v>
      </c>
      <c r="G5" s="2" t="s">
        <v>249</v>
      </c>
      <c r="H5" s="2"/>
      <c r="I5" s="2"/>
      <c r="J5" s="2" t="s">
        <v>253</v>
      </c>
    </row>
    <row r="6" spans="1:17" ht="18" x14ac:dyDescent="0.25">
      <c r="A6" s="8">
        <v>2</v>
      </c>
      <c r="B6" s="8">
        <v>2</v>
      </c>
      <c r="C6" s="91">
        <v>100</v>
      </c>
      <c r="D6" s="92">
        <v>100</v>
      </c>
      <c r="E6" s="94">
        <f t="shared" ref="E6:E18" si="0">D6-C6</f>
        <v>0</v>
      </c>
      <c r="F6" s="9">
        <v>45733</v>
      </c>
      <c r="G6" s="2" t="s">
        <v>160</v>
      </c>
      <c r="H6" s="2"/>
      <c r="I6" s="2"/>
      <c r="J6" s="2" t="s">
        <v>254</v>
      </c>
    </row>
    <row r="7" spans="1:17" ht="18" x14ac:dyDescent="0.25">
      <c r="A7" s="8">
        <v>3</v>
      </c>
      <c r="B7" s="8">
        <v>3</v>
      </c>
      <c r="C7" s="91">
        <v>100</v>
      </c>
      <c r="D7" s="92">
        <v>100</v>
      </c>
      <c r="E7" s="94">
        <f t="shared" si="0"/>
        <v>0</v>
      </c>
      <c r="F7" s="9">
        <v>45750</v>
      </c>
      <c r="G7" s="2" t="s">
        <v>141</v>
      </c>
      <c r="H7" s="2"/>
      <c r="I7" s="2"/>
      <c r="J7" s="2"/>
    </row>
    <row r="8" spans="1:17" ht="18" x14ac:dyDescent="0.25">
      <c r="A8" s="8">
        <v>4</v>
      </c>
      <c r="B8" s="8">
        <v>4</v>
      </c>
      <c r="C8" s="91">
        <v>100</v>
      </c>
      <c r="D8" s="92">
        <v>100</v>
      </c>
      <c r="E8" s="94">
        <f t="shared" si="0"/>
        <v>0</v>
      </c>
      <c r="F8" s="9">
        <v>45733</v>
      </c>
      <c r="G8" s="2" t="s">
        <v>161</v>
      </c>
      <c r="H8" s="2"/>
      <c r="I8" s="2"/>
      <c r="J8" s="2"/>
    </row>
    <row r="9" spans="1:17" ht="18" x14ac:dyDescent="0.25">
      <c r="A9" s="8">
        <v>5</v>
      </c>
      <c r="B9" s="8">
        <v>5</v>
      </c>
      <c r="C9" s="91">
        <v>200</v>
      </c>
      <c r="D9" s="92">
        <v>200</v>
      </c>
      <c r="E9" s="94">
        <f t="shared" si="0"/>
        <v>0</v>
      </c>
      <c r="F9" s="9">
        <v>45733</v>
      </c>
      <c r="G9" s="2" t="s">
        <v>164</v>
      </c>
      <c r="H9" s="2"/>
      <c r="I9" s="2"/>
      <c r="J9" s="2"/>
    </row>
    <row r="10" spans="1:17" ht="18" x14ac:dyDescent="0.25">
      <c r="A10" s="8">
        <v>6</v>
      </c>
      <c r="B10" s="8">
        <v>6</v>
      </c>
      <c r="C10" s="91">
        <v>200</v>
      </c>
      <c r="D10" s="92">
        <v>200</v>
      </c>
      <c r="E10" s="94">
        <f t="shared" si="0"/>
        <v>0</v>
      </c>
      <c r="F10" s="9">
        <v>45733</v>
      </c>
      <c r="G10" s="2" t="s">
        <v>154</v>
      </c>
      <c r="H10" s="2"/>
      <c r="I10" s="2"/>
      <c r="J10" s="2"/>
    </row>
    <row r="11" spans="1:17" ht="18" x14ac:dyDescent="0.25">
      <c r="A11" s="8">
        <v>7</v>
      </c>
      <c r="B11" s="8">
        <v>7</v>
      </c>
      <c r="C11" s="91">
        <v>200</v>
      </c>
      <c r="D11" s="92">
        <v>200</v>
      </c>
      <c r="E11" s="94">
        <f t="shared" si="0"/>
        <v>0</v>
      </c>
      <c r="F11" s="9"/>
      <c r="G11" s="2" t="s">
        <v>162</v>
      </c>
      <c r="H11" s="2"/>
      <c r="I11" s="2"/>
      <c r="J11" s="2"/>
    </row>
    <row r="12" spans="1:17" ht="18" x14ac:dyDescent="0.25">
      <c r="A12" s="8">
        <v>8</v>
      </c>
      <c r="B12" s="8">
        <v>8</v>
      </c>
      <c r="C12" s="91">
        <v>0</v>
      </c>
      <c r="D12" s="92">
        <v>0</v>
      </c>
      <c r="E12" s="94">
        <f t="shared" si="0"/>
        <v>0</v>
      </c>
      <c r="F12" s="9">
        <v>45733</v>
      </c>
      <c r="G12" s="2" t="s">
        <v>163</v>
      </c>
      <c r="H12" s="2"/>
      <c r="I12" s="2" t="s">
        <v>258</v>
      </c>
      <c r="J12" s="2"/>
    </row>
    <row r="13" spans="1:17" ht="18" x14ac:dyDescent="0.25">
      <c r="A13" s="8">
        <v>9</v>
      </c>
      <c r="B13" s="8">
        <v>9</v>
      </c>
      <c r="C13" s="91">
        <v>200</v>
      </c>
      <c r="D13" s="92">
        <v>200</v>
      </c>
      <c r="E13" s="94">
        <f t="shared" si="0"/>
        <v>0</v>
      </c>
      <c r="F13" s="9">
        <v>45733</v>
      </c>
      <c r="G13" s="2" t="s">
        <v>184</v>
      </c>
      <c r="H13" s="2"/>
      <c r="I13" s="2"/>
      <c r="J13" s="2"/>
    </row>
    <row r="14" spans="1:17" ht="18" x14ac:dyDescent="0.25">
      <c r="A14" s="8">
        <v>10</v>
      </c>
      <c r="B14" s="8">
        <v>10</v>
      </c>
      <c r="C14" s="91">
        <v>200</v>
      </c>
      <c r="D14" s="92">
        <v>200</v>
      </c>
      <c r="E14" s="94">
        <f t="shared" si="0"/>
        <v>0</v>
      </c>
      <c r="F14" s="9">
        <v>45733</v>
      </c>
      <c r="G14" s="2" t="s">
        <v>154</v>
      </c>
      <c r="H14" s="2"/>
      <c r="I14" s="2"/>
      <c r="J14" s="2"/>
    </row>
    <row r="15" spans="1:17" ht="18" x14ac:dyDescent="0.25">
      <c r="A15" s="8">
        <v>11</v>
      </c>
      <c r="B15" s="8">
        <v>11</v>
      </c>
      <c r="C15" s="91">
        <v>200</v>
      </c>
      <c r="D15" s="92">
        <v>200</v>
      </c>
      <c r="E15" s="94">
        <f t="shared" si="0"/>
        <v>0</v>
      </c>
      <c r="F15" s="9">
        <v>45733</v>
      </c>
      <c r="G15" s="2" t="s">
        <v>187</v>
      </c>
      <c r="H15" s="2"/>
      <c r="I15" s="2"/>
      <c r="J15" s="2"/>
    </row>
    <row r="16" spans="1:17" ht="18" x14ac:dyDescent="0.25">
      <c r="A16" s="8">
        <v>12</v>
      </c>
      <c r="B16" s="8">
        <v>12</v>
      </c>
      <c r="C16" s="91">
        <v>200</v>
      </c>
      <c r="D16" s="92">
        <v>200</v>
      </c>
      <c r="E16" s="94">
        <f t="shared" si="0"/>
        <v>0</v>
      </c>
      <c r="F16" s="9">
        <v>45733</v>
      </c>
      <c r="G16" s="2" t="s">
        <v>142</v>
      </c>
      <c r="H16" s="2"/>
      <c r="I16" s="2"/>
      <c r="J16" s="2"/>
    </row>
    <row r="17" spans="1:10" ht="18" x14ac:dyDescent="0.25">
      <c r="A17" s="8">
        <v>13</v>
      </c>
      <c r="B17" s="8">
        <v>13</v>
      </c>
      <c r="C17" s="91">
        <v>200</v>
      </c>
      <c r="D17" s="92">
        <v>200</v>
      </c>
      <c r="E17" s="94">
        <f t="shared" si="0"/>
        <v>0</v>
      </c>
      <c r="F17" s="9">
        <v>45733</v>
      </c>
      <c r="G17" s="2" t="s">
        <v>159</v>
      </c>
      <c r="H17" s="2"/>
      <c r="I17" s="2"/>
      <c r="J17" s="2"/>
    </row>
    <row r="18" spans="1:10" ht="18" x14ac:dyDescent="0.25">
      <c r="A18" s="8">
        <v>14</v>
      </c>
      <c r="B18" s="8">
        <v>14</v>
      </c>
      <c r="C18" s="91">
        <v>200</v>
      </c>
      <c r="D18" s="92">
        <v>200</v>
      </c>
      <c r="E18" s="94">
        <f t="shared" si="0"/>
        <v>0</v>
      </c>
      <c r="F18" s="9">
        <v>45733</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ColWidth="9.125"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T7" sqref="T7"/>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100</v>
      </c>
      <c r="D6" s="26">
        <f>Apartment2!D6</f>
        <v>50</v>
      </c>
      <c r="E6" s="26">
        <f>Apartment3!D6</f>
        <v>100</v>
      </c>
      <c r="F6" s="26">
        <f>Apartment4!D6</f>
        <v>100</v>
      </c>
      <c r="G6" s="26">
        <f>Apartment5!D6</f>
        <v>200</v>
      </c>
      <c r="H6" s="26">
        <f>Apartment6!D6</f>
        <v>200</v>
      </c>
      <c r="I6" s="26">
        <f>Apartment7!D6</f>
        <v>200</v>
      </c>
      <c r="J6" s="26">
        <f>Apartment8!D6</f>
        <v>200</v>
      </c>
      <c r="K6" s="26">
        <f>Apartment9!D6</f>
        <v>100</v>
      </c>
      <c r="L6" s="26">
        <f>Apartment10!D6</f>
        <v>100</v>
      </c>
      <c r="M6" s="26">
        <f>Apartment11!D6</f>
        <v>100</v>
      </c>
      <c r="N6" s="26">
        <f>Apartment12!D6</f>
        <v>200</v>
      </c>
      <c r="O6" s="26">
        <f>Apartment13!D6</f>
        <v>85</v>
      </c>
      <c r="P6" s="26">
        <f>Apartment14!D6</f>
        <v>85</v>
      </c>
    </row>
    <row r="7" spans="1:20" ht="23.25" x14ac:dyDescent="0.35">
      <c r="A7" s="8"/>
      <c r="B7" s="25">
        <v>2</v>
      </c>
      <c r="C7" s="26">
        <f>Apartment1!D7</f>
        <v>100</v>
      </c>
      <c r="D7" s="26">
        <f>Apartment2!D7</f>
        <v>50</v>
      </c>
      <c r="E7" s="26">
        <f>Apartment3!D7</f>
        <v>100</v>
      </c>
      <c r="F7" s="26">
        <f>Apartment4!D7</f>
        <v>100</v>
      </c>
      <c r="G7" s="26">
        <f>Apartment5!D7</f>
        <v>200</v>
      </c>
      <c r="H7" s="26">
        <f>Apartment6!D7</f>
        <v>200</v>
      </c>
      <c r="I7" s="26">
        <f>Apartment7!D7</f>
        <v>200</v>
      </c>
      <c r="J7" s="26">
        <f>Apartment8!D7</f>
        <v>200</v>
      </c>
      <c r="K7" s="26">
        <f>Apartment9!D7</f>
        <v>100</v>
      </c>
      <c r="L7" s="26">
        <f>Apartment10!D7</f>
        <v>100</v>
      </c>
      <c r="M7" s="26">
        <f>Apartment11!D7</f>
        <v>100</v>
      </c>
      <c r="N7" s="26">
        <f>Apartment12!D7</f>
        <v>200</v>
      </c>
      <c r="O7" s="26">
        <f>Apartment13!D7</f>
        <v>85</v>
      </c>
      <c r="P7" s="26">
        <f>Apartment14!D7</f>
        <v>85</v>
      </c>
    </row>
    <row r="8" spans="1:20" ht="23.25" x14ac:dyDescent="0.35">
      <c r="A8" s="8"/>
      <c r="B8" s="25">
        <v>3</v>
      </c>
      <c r="C8" s="26">
        <f>Apartment1!D8</f>
        <v>100</v>
      </c>
      <c r="D8" s="26">
        <f>Apartment2!D8</f>
        <v>50</v>
      </c>
      <c r="E8" s="26">
        <f>Apartment3!D8</f>
        <v>100</v>
      </c>
      <c r="F8" s="26">
        <f>Apartment4!D8</f>
        <v>100</v>
      </c>
      <c r="G8" s="26">
        <f>Apartment5!D8</f>
        <v>200</v>
      </c>
      <c r="H8" s="26">
        <f>Apartment6!D8</f>
        <v>200</v>
      </c>
      <c r="I8" s="26">
        <f>Apartment7!D8</f>
        <v>200</v>
      </c>
      <c r="J8" s="26">
        <f>Apartment8!D8</f>
        <v>200</v>
      </c>
      <c r="K8" s="26">
        <f>Apartment9!D8</f>
        <v>100</v>
      </c>
      <c r="L8" s="26">
        <f>Apartment10!D8</f>
        <v>100</v>
      </c>
      <c r="M8" s="26">
        <f>Apartment11!D8</f>
        <v>100</v>
      </c>
      <c r="N8" s="26">
        <f>Apartment12!D8</f>
        <v>200</v>
      </c>
      <c r="O8" s="26">
        <f>Apartment13!D8</f>
        <v>85</v>
      </c>
      <c r="P8" s="26">
        <f>Apartment14!D8</f>
        <v>85</v>
      </c>
    </row>
    <row r="9" spans="1:20" ht="23.25" x14ac:dyDescent="0.35">
      <c r="A9" s="8"/>
      <c r="B9" s="25">
        <v>4</v>
      </c>
      <c r="C9" s="26">
        <f>Apartment1!D9</f>
        <v>100</v>
      </c>
      <c r="D9" s="26">
        <f>Apartment2!D9</f>
        <v>50</v>
      </c>
      <c r="E9" s="26">
        <f>Apartment3!D9</f>
        <v>100</v>
      </c>
      <c r="F9" s="26">
        <f>Apartment4!D9</f>
        <v>100</v>
      </c>
      <c r="G9" s="26">
        <f>Apartment5!D9</f>
        <v>200</v>
      </c>
      <c r="H9" s="26">
        <f>Apartment6!D9</f>
        <v>200</v>
      </c>
      <c r="I9" s="26">
        <f>Apartment7!D9</f>
        <v>200</v>
      </c>
      <c r="J9" s="26">
        <f>Apartment8!D9</f>
        <v>200</v>
      </c>
      <c r="K9" s="26">
        <f>Apartment9!D9</f>
        <v>100</v>
      </c>
      <c r="L9" s="26">
        <f>Apartment10!D9</f>
        <v>100</v>
      </c>
      <c r="M9" s="26">
        <f>Apartment11!D9</f>
        <v>100</v>
      </c>
      <c r="N9" s="26">
        <f>Apartment12!D9</f>
        <v>200</v>
      </c>
      <c r="O9" s="26">
        <f>Apartment13!D9</f>
        <v>85</v>
      </c>
      <c r="P9" s="26">
        <f>Apartment14!D9</f>
        <v>85</v>
      </c>
    </row>
    <row r="10" spans="1:20" ht="23.25" x14ac:dyDescent="0.35">
      <c r="A10" s="8"/>
      <c r="B10" s="25">
        <v>5</v>
      </c>
      <c r="C10" s="26">
        <f>Apartment1!D10</f>
        <v>100</v>
      </c>
      <c r="D10" s="26">
        <f>Apartment2!D10</f>
        <v>50</v>
      </c>
      <c r="E10" s="26">
        <f>Apartment3!D10</f>
        <v>100</v>
      </c>
      <c r="F10" s="26">
        <f>Apartment4!D10</f>
        <v>100</v>
      </c>
      <c r="G10" s="26">
        <f>Apartment5!D10</f>
        <v>200</v>
      </c>
      <c r="H10" s="26">
        <f>Apartment6!D10</f>
        <v>200</v>
      </c>
      <c r="I10" s="26">
        <f>Apartment7!D10</f>
        <v>200</v>
      </c>
      <c r="J10" s="26">
        <f>Apartment8!D10</f>
        <v>200</v>
      </c>
      <c r="K10" s="26">
        <f>Apartment9!D10</f>
        <v>100</v>
      </c>
      <c r="L10" s="26">
        <f>Apartment10!D10</f>
        <v>100</v>
      </c>
      <c r="M10" s="26">
        <f>Apartment11!D10</f>
        <v>100</v>
      </c>
      <c r="N10" s="26">
        <f>Apartment12!D10</f>
        <v>200</v>
      </c>
      <c r="O10" s="26">
        <f>Apartment13!D10</f>
        <v>100</v>
      </c>
      <c r="P10" s="26">
        <f>Apartment14!D10</f>
        <v>100</v>
      </c>
    </row>
    <row r="11" spans="1:20" ht="23.25" x14ac:dyDescent="0.35">
      <c r="A11" s="8"/>
      <c r="B11" s="25">
        <v>6</v>
      </c>
      <c r="C11" s="26">
        <f>Apartment1!D11</f>
        <v>100</v>
      </c>
      <c r="D11" s="26">
        <f>Apartment2!D11</f>
        <v>50</v>
      </c>
      <c r="E11" s="26">
        <f>Apartment3!D11</f>
        <v>100</v>
      </c>
      <c r="F11" s="26">
        <f>Apartment4!D11</f>
        <v>100</v>
      </c>
      <c r="G11" s="26">
        <f>Apartment5!D11</f>
        <v>200</v>
      </c>
      <c r="H11" s="26">
        <f>Apartment6!D11</f>
        <v>200</v>
      </c>
      <c r="I11" s="26">
        <f>Apartment7!D11</f>
        <v>200</v>
      </c>
      <c r="J11" s="26">
        <f>Apartment8!D11</f>
        <v>200</v>
      </c>
      <c r="K11" s="26">
        <f>Apartment9!D11</f>
        <v>100</v>
      </c>
      <c r="L11" s="26">
        <f>Apartment10!D11</f>
        <v>100</v>
      </c>
      <c r="M11" s="26">
        <f>Apartment11!D11</f>
        <v>100</v>
      </c>
      <c r="N11" s="26">
        <f>Apartment12!D11</f>
        <v>200</v>
      </c>
      <c r="O11" s="26">
        <f>Apartment13!D11</f>
        <v>100</v>
      </c>
      <c r="P11" s="26">
        <f>Apartment14!D11</f>
        <v>100</v>
      </c>
    </row>
    <row r="12" spans="1:20" ht="23.25" x14ac:dyDescent="0.35">
      <c r="A12" s="8"/>
      <c r="B12" s="25">
        <v>7</v>
      </c>
      <c r="C12" s="26">
        <f>Apartment1!D12</f>
        <v>100</v>
      </c>
      <c r="D12" s="26">
        <f>Apartment2!D12</f>
        <v>50</v>
      </c>
      <c r="E12" s="26">
        <f>Apartment3!D12</f>
        <v>100</v>
      </c>
      <c r="F12" s="26">
        <f>Apartment4!D12</f>
        <v>100</v>
      </c>
      <c r="G12" s="26">
        <f>Apartment5!D12</f>
        <v>200</v>
      </c>
      <c r="H12" s="26">
        <f>Apartment6!D12</f>
        <v>200</v>
      </c>
      <c r="I12" s="26">
        <f>Apartment7!D12</f>
        <v>200</v>
      </c>
      <c r="J12" s="26">
        <f>Apartment8!D12</f>
        <v>200</v>
      </c>
      <c r="K12" s="26">
        <f>Apartment9!D12</f>
        <v>100</v>
      </c>
      <c r="L12" s="26">
        <f>Apartment10!D12</f>
        <v>100</v>
      </c>
      <c r="M12" s="26">
        <f>Apartment11!D12</f>
        <v>100</v>
      </c>
      <c r="N12" s="26">
        <f>Apartment12!D12</f>
        <v>200</v>
      </c>
      <c r="O12" s="26">
        <f>Apartment13!D12</f>
        <v>100</v>
      </c>
      <c r="P12" s="26">
        <f>Apartment14!D12</f>
        <v>100</v>
      </c>
    </row>
    <row r="13" spans="1:20" ht="23.25" x14ac:dyDescent="0.35">
      <c r="A13" s="8"/>
      <c r="B13" s="25">
        <v>8</v>
      </c>
      <c r="C13" s="26">
        <f>Apartment1!D13</f>
        <v>100</v>
      </c>
      <c r="D13" s="26">
        <f>Apartment2!D13</f>
        <v>50</v>
      </c>
      <c r="E13" s="26">
        <f>Apartment3!D13</f>
        <v>100</v>
      </c>
      <c r="F13" s="26">
        <f>Apartment4!D13</f>
        <v>100</v>
      </c>
      <c r="G13" s="26">
        <f>Apartment5!D13</f>
        <v>200</v>
      </c>
      <c r="H13" s="26">
        <f>Apartment6!D13</f>
        <v>200</v>
      </c>
      <c r="I13" s="26">
        <f>Apartment7!D13</f>
        <v>200</v>
      </c>
      <c r="J13" s="26">
        <f>Apartment8!D13</f>
        <v>200</v>
      </c>
      <c r="K13" s="26">
        <f>Apartment9!D13</f>
        <v>100</v>
      </c>
      <c r="L13" s="26">
        <f>Apartment10!D13</f>
        <v>100</v>
      </c>
      <c r="M13" s="26">
        <f>Apartment11!D13</f>
        <v>100</v>
      </c>
      <c r="N13" s="26">
        <f>Apartment12!D13</f>
        <v>200</v>
      </c>
      <c r="O13" s="26">
        <f>Apartment13!D13</f>
        <v>100</v>
      </c>
      <c r="P13" s="26">
        <f>Apartment14!D13</f>
        <v>100</v>
      </c>
    </row>
    <row r="14" spans="1:20" ht="23.25" x14ac:dyDescent="0.35">
      <c r="A14" s="8"/>
      <c r="B14" s="25">
        <v>9</v>
      </c>
      <c r="C14" s="26">
        <f>Apartment1!D14</f>
        <v>100</v>
      </c>
      <c r="D14" s="26">
        <f>Apartment2!D14</f>
        <v>50</v>
      </c>
      <c r="E14" s="26">
        <f>Apartment3!D14</f>
        <v>100</v>
      </c>
      <c r="F14" s="26">
        <f>Apartment4!D14</f>
        <v>100</v>
      </c>
      <c r="G14" s="26">
        <f>Apartment5!D14</f>
        <v>200</v>
      </c>
      <c r="H14" s="26">
        <f>Apartment6!D14</f>
        <v>200</v>
      </c>
      <c r="I14" s="26">
        <f>Apartment7!D14</f>
        <v>200</v>
      </c>
      <c r="J14" s="26">
        <f>Apartment8!D14</f>
        <v>200</v>
      </c>
      <c r="K14" s="26">
        <f>Apartment9!D14</f>
        <v>100</v>
      </c>
      <c r="L14" s="26">
        <f>Apartment10!D14</f>
        <v>100</v>
      </c>
      <c r="M14" s="26">
        <f>Apartment11!D14</f>
        <v>100</v>
      </c>
      <c r="N14" s="26">
        <f>Apartment12!D14</f>
        <v>200</v>
      </c>
      <c r="O14" s="26">
        <f>Apartment13!D14</f>
        <v>100</v>
      </c>
      <c r="P14" s="26">
        <f>Apartment14!D14</f>
        <v>100</v>
      </c>
    </row>
    <row r="15" spans="1:20" ht="23.25" x14ac:dyDescent="0.35">
      <c r="A15" s="8"/>
      <c r="B15" s="25">
        <v>10</v>
      </c>
      <c r="C15" s="26">
        <f>Apartment1!D15</f>
        <v>100</v>
      </c>
      <c r="D15" s="26">
        <f>Apartment2!D15</f>
        <v>50</v>
      </c>
      <c r="E15" s="26">
        <f>Apartment3!D15</f>
        <v>100</v>
      </c>
      <c r="F15" s="26">
        <f>Apartment4!D15</f>
        <v>100</v>
      </c>
      <c r="G15" s="26">
        <f>Apartment5!D15</f>
        <v>200</v>
      </c>
      <c r="H15" s="26">
        <f>Apartment6!D15</f>
        <v>200</v>
      </c>
      <c r="I15" s="26">
        <f>Apartment7!D15</f>
        <v>200</v>
      </c>
      <c r="J15" s="26">
        <f>Apartment8!D15</f>
        <v>200</v>
      </c>
      <c r="K15" s="26">
        <f>Apartment9!D15</f>
        <v>100</v>
      </c>
      <c r="L15" s="26">
        <f>Apartment10!D15</f>
        <v>100</v>
      </c>
      <c r="M15" s="26">
        <f>Apartment11!D15</f>
        <v>100</v>
      </c>
      <c r="N15" s="26">
        <f>Apartment12!D15</f>
        <v>200</v>
      </c>
      <c r="O15" s="26">
        <f>Apartment13!D15</f>
        <v>100</v>
      </c>
      <c r="P15" s="26">
        <f>Apartment14!D15</f>
        <v>100</v>
      </c>
    </row>
    <row r="16" spans="1:20" ht="23.25" x14ac:dyDescent="0.35">
      <c r="A16" s="8"/>
      <c r="B16" s="25">
        <v>11</v>
      </c>
      <c r="C16" s="26">
        <f>Apartment1!D16</f>
        <v>100</v>
      </c>
      <c r="D16" s="26">
        <f>Apartment2!D16</f>
        <v>50</v>
      </c>
      <c r="E16" s="26">
        <f>Apartment3!D16</f>
        <v>100</v>
      </c>
      <c r="F16" s="26">
        <f>Apartment4!D16</f>
        <v>100</v>
      </c>
      <c r="G16" s="26">
        <f>Apartment5!D16</f>
        <v>200</v>
      </c>
      <c r="H16" s="26">
        <f>Apartment6!D16</f>
        <v>200</v>
      </c>
      <c r="I16" s="26">
        <f>Apartment7!D16</f>
        <v>200</v>
      </c>
      <c r="J16" s="26">
        <f>Apartment8!D16</f>
        <v>200</v>
      </c>
      <c r="K16" s="26">
        <f>Apartment9!D16</f>
        <v>100</v>
      </c>
      <c r="L16" s="26">
        <f>Apartment10!D16</f>
        <v>100</v>
      </c>
      <c r="M16" s="26">
        <f>Apartment11!D16</f>
        <v>100</v>
      </c>
      <c r="N16" s="26">
        <f>Apartment12!D16</f>
        <v>200</v>
      </c>
      <c r="O16" s="26">
        <f>Apartment13!D16</f>
        <v>100</v>
      </c>
      <c r="P16" s="26">
        <f>Apartment14!D16</f>
        <v>100</v>
      </c>
    </row>
    <row r="17" spans="1:16" ht="23.25" x14ac:dyDescent="0.35">
      <c r="A17" s="8"/>
      <c r="B17" s="25">
        <v>12</v>
      </c>
      <c r="C17" s="26">
        <f>Apartment1!D17</f>
        <v>100</v>
      </c>
      <c r="D17" s="26">
        <f>Apartment2!D17</f>
        <v>50</v>
      </c>
      <c r="E17" s="26">
        <f>Apartment3!D17</f>
        <v>100</v>
      </c>
      <c r="F17" s="26">
        <f>Apartment4!D17</f>
        <v>100</v>
      </c>
      <c r="G17" s="26">
        <f>Apartment5!D17</f>
        <v>200</v>
      </c>
      <c r="H17" s="26">
        <f>Apartment6!D17</f>
        <v>200</v>
      </c>
      <c r="I17" s="26">
        <f>Apartment7!D17</f>
        <v>200</v>
      </c>
      <c r="J17" s="26">
        <f>Apartment8!D17</f>
        <v>200</v>
      </c>
      <c r="K17" s="26">
        <f>Apartment9!D17</f>
        <v>100</v>
      </c>
      <c r="L17" s="26">
        <f>Apartment10!D17</f>
        <v>100</v>
      </c>
      <c r="M17" s="26">
        <f>Apartment11!D17</f>
        <v>100</v>
      </c>
      <c r="N17" s="26">
        <f>Apartment12!D17</f>
        <v>200</v>
      </c>
      <c r="O17" s="26">
        <f>Apartment13!D17</f>
        <v>100</v>
      </c>
      <c r="P17" s="26">
        <f>Apartment14!D17</f>
        <v>100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H5" sqref="H5:H18"/>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1200</v>
      </c>
      <c r="D5" s="92"/>
      <c r="E5" s="94">
        <f>D5-C5</f>
        <v>-1200</v>
      </c>
      <c r="F5" s="2" t="s">
        <v>50</v>
      </c>
      <c r="G5" s="91"/>
      <c r="H5" s="92"/>
      <c r="I5" s="94">
        <f>H5-G5</f>
        <v>0</v>
      </c>
      <c r="J5" s="2"/>
    </row>
    <row r="6" spans="1:14" ht="18" x14ac:dyDescent="0.25">
      <c r="A6" s="8">
        <v>2</v>
      </c>
      <c r="B6" s="20">
        <v>2</v>
      </c>
      <c r="C6" s="91">
        <f>Apartment2!D4</f>
        <v>600</v>
      </c>
      <c r="D6" s="92"/>
      <c r="E6" s="94">
        <f t="shared" ref="E6:E18" si="0">D6-C6</f>
        <v>-600</v>
      </c>
      <c r="F6" s="2" t="s">
        <v>51</v>
      </c>
      <c r="G6" s="91"/>
      <c r="H6" s="92"/>
      <c r="I6" s="94">
        <f t="shared" ref="I6:I18" si="1">H6-G6</f>
        <v>0</v>
      </c>
      <c r="J6" s="2"/>
    </row>
    <row r="7" spans="1:14" ht="18" x14ac:dyDescent="0.25">
      <c r="A7" s="8">
        <v>3</v>
      </c>
      <c r="B7" s="20">
        <v>3</v>
      </c>
      <c r="C7" s="91">
        <f>Apartment3!D4</f>
        <v>1200</v>
      </c>
      <c r="D7" s="92"/>
      <c r="E7" s="94">
        <f t="shared" si="0"/>
        <v>-1200</v>
      </c>
      <c r="F7" s="2" t="s">
        <v>48</v>
      </c>
      <c r="G7" s="91"/>
      <c r="H7" s="92"/>
      <c r="I7" s="94">
        <f t="shared" si="1"/>
        <v>0</v>
      </c>
      <c r="J7" s="2"/>
    </row>
    <row r="8" spans="1:14" ht="18" x14ac:dyDescent="0.25">
      <c r="A8" s="8">
        <v>4</v>
      </c>
      <c r="B8" s="20">
        <v>4</v>
      </c>
      <c r="C8" s="91">
        <f>Apartment4!D4</f>
        <v>1200</v>
      </c>
      <c r="D8" s="92"/>
      <c r="E8" s="94">
        <f t="shared" si="0"/>
        <v>-1200</v>
      </c>
      <c r="F8" s="2" t="s">
        <v>48</v>
      </c>
      <c r="G8" s="91"/>
      <c r="H8" s="92"/>
      <c r="I8" s="94">
        <f t="shared" si="1"/>
        <v>0</v>
      </c>
      <c r="J8" s="2"/>
    </row>
    <row r="9" spans="1:14" ht="18" x14ac:dyDescent="0.25">
      <c r="A9" s="8">
        <v>5</v>
      </c>
      <c r="B9" s="20">
        <v>5</v>
      </c>
      <c r="C9" s="91">
        <f>Apartment5!D4</f>
        <v>2400</v>
      </c>
      <c r="D9" s="92"/>
      <c r="E9" s="94">
        <f t="shared" si="0"/>
        <v>-2400</v>
      </c>
      <c r="F9" s="2" t="s">
        <v>119</v>
      </c>
      <c r="G9" s="91"/>
      <c r="H9" s="92"/>
      <c r="I9" s="94">
        <f t="shared" si="1"/>
        <v>0</v>
      </c>
      <c r="J9" s="2"/>
    </row>
    <row r="10" spans="1:14" ht="18" x14ac:dyDescent="0.25">
      <c r="A10" s="8">
        <v>6</v>
      </c>
      <c r="B10" s="20">
        <v>6</v>
      </c>
      <c r="C10" s="91">
        <f>Apartment6!D4</f>
        <v>2400</v>
      </c>
      <c r="D10" s="92"/>
      <c r="E10" s="94">
        <f t="shared" si="0"/>
        <v>-2400</v>
      </c>
      <c r="F10" s="2" t="s">
        <v>52</v>
      </c>
      <c r="G10" s="91"/>
      <c r="H10" s="92"/>
      <c r="I10" s="94">
        <f t="shared" si="1"/>
        <v>0</v>
      </c>
      <c r="J10" s="2"/>
    </row>
    <row r="11" spans="1:14" ht="18" x14ac:dyDescent="0.25">
      <c r="A11" s="8">
        <v>7</v>
      </c>
      <c r="B11" s="20">
        <v>7</v>
      </c>
      <c r="C11" s="91">
        <f>Apartment7!D4</f>
        <v>2400</v>
      </c>
      <c r="D11" s="92"/>
      <c r="E11" s="94">
        <f t="shared" si="0"/>
        <v>-2400</v>
      </c>
      <c r="F11" s="2" t="s">
        <v>48</v>
      </c>
      <c r="G11" s="91"/>
      <c r="H11" s="92"/>
      <c r="I11" s="94">
        <f t="shared" si="1"/>
        <v>0</v>
      </c>
      <c r="J11" s="2"/>
    </row>
    <row r="12" spans="1:14" ht="18" x14ac:dyDescent="0.25">
      <c r="A12" s="8">
        <v>8</v>
      </c>
      <c r="B12" s="20">
        <v>8</v>
      </c>
      <c r="C12" s="91">
        <f>Apartment8!D4</f>
        <v>2400</v>
      </c>
      <c r="D12" s="92"/>
      <c r="E12" s="94">
        <f t="shared" si="0"/>
        <v>-2400</v>
      </c>
      <c r="F12" s="2" t="s">
        <v>120</v>
      </c>
      <c r="G12" s="91"/>
      <c r="H12" s="92"/>
      <c r="I12" s="94">
        <f t="shared" si="1"/>
        <v>0</v>
      </c>
      <c r="J12" s="2"/>
    </row>
    <row r="13" spans="1:14" ht="18" x14ac:dyDescent="0.25">
      <c r="A13" s="8">
        <v>9</v>
      </c>
      <c r="B13" s="20">
        <v>9</v>
      </c>
      <c r="C13" s="91">
        <f>Apartment9!D4</f>
        <v>1200</v>
      </c>
      <c r="D13" s="92"/>
      <c r="E13" s="94">
        <f t="shared" si="0"/>
        <v>-1200</v>
      </c>
      <c r="F13" s="2" t="s">
        <v>53</v>
      </c>
      <c r="G13" s="91"/>
      <c r="H13" s="92"/>
      <c r="I13" s="94">
        <f t="shared" si="1"/>
        <v>0</v>
      </c>
      <c r="J13" s="2"/>
    </row>
    <row r="14" spans="1:14" ht="18" x14ac:dyDescent="0.25">
      <c r="A14" s="8">
        <v>10</v>
      </c>
      <c r="B14" s="20">
        <v>10</v>
      </c>
      <c r="C14" s="91">
        <f>Apartment10!D4</f>
        <v>1200</v>
      </c>
      <c r="D14" s="92"/>
      <c r="E14" s="94">
        <f t="shared" si="0"/>
        <v>-1200</v>
      </c>
      <c r="F14" s="2" t="s">
        <v>52</v>
      </c>
      <c r="G14" s="91"/>
      <c r="H14" s="92"/>
      <c r="I14" s="94">
        <f t="shared" si="1"/>
        <v>0</v>
      </c>
      <c r="J14" s="2"/>
    </row>
    <row r="15" spans="1:14" ht="18" x14ac:dyDescent="0.25">
      <c r="A15" s="8">
        <v>11</v>
      </c>
      <c r="B15" s="20">
        <v>11</v>
      </c>
      <c r="C15" s="91">
        <f>Apartment11!D4</f>
        <v>1200</v>
      </c>
      <c r="D15" s="92"/>
      <c r="E15" s="94">
        <f t="shared" si="0"/>
        <v>-1200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1140</v>
      </c>
      <c r="D17" s="92"/>
      <c r="E17" s="94">
        <f t="shared" si="0"/>
        <v>-1140</v>
      </c>
      <c r="F17" s="2" t="s">
        <v>56</v>
      </c>
      <c r="G17" s="91"/>
      <c r="H17" s="92"/>
      <c r="I17" s="94">
        <f t="shared" si="1"/>
        <v>0</v>
      </c>
      <c r="J17" s="2"/>
    </row>
    <row r="18" spans="1:10" ht="18" x14ac:dyDescent="0.25">
      <c r="A18" s="8">
        <v>14</v>
      </c>
      <c r="B18" s="20">
        <v>14</v>
      </c>
      <c r="C18" s="91">
        <f>Apartment14!D4</f>
        <v>1140</v>
      </c>
      <c r="D18" s="92"/>
      <c r="E18" s="94">
        <f t="shared" si="0"/>
        <v>-1140</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3" workbookViewId="0">
      <selection activeCell="K13" sqref="K13"/>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1140</v>
      </c>
      <c r="E4" s="11"/>
      <c r="F4" s="11">
        <f>SUM(F6:F2001)</f>
        <v>1140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45769</v>
      </c>
      <c r="D6" s="33">
        <v>85</v>
      </c>
      <c r="E6" s="8"/>
      <c r="F6" s="8">
        <v>85</v>
      </c>
      <c r="G6" s="8" t="s">
        <v>292</v>
      </c>
      <c r="H6" s="2"/>
      <c r="I6" s="2"/>
      <c r="J6" s="2"/>
      <c r="K6" s="2"/>
      <c r="L6" s="2"/>
      <c r="M6" s="2"/>
    </row>
    <row r="7" spans="1:17" ht="18" x14ac:dyDescent="0.25">
      <c r="A7" s="8">
        <v>2</v>
      </c>
      <c r="B7" s="8">
        <v>2</v>
      </c>
      <c r="C7" s="63">
        <v>45769</v>
      </c>
      <c r="D7" s="33">
        <v>85</v>
      </c>
      <c r="E7" s="8"/>
      <c r="F7" s="8">
        <v>85</v>
      </c>
      <c r="G7" s="8" t="s">
        <v>113</v>
      </c>
      <c r="H7" s="2"/>
      <c r="I7" s="2"/>
      <c r="J7" s="2"/>
      <c r="K7" s="2"/>
      <c r="L7" s="2"/>
      <c r="M7" s="2"/>
    </row>
    <row r="8" spans="1:17" ht="18" x14ac:dyDescent="0.25">
      <c r="A8" s="8">
        <v>3</v>
      </c>
      <c r="B8" s="8">
        <v>3</v>
      </c>
      <c r="C8" s="63">
        <v>45877</v>
      </c>
      <c r="D8" s="33">
        <v>85</v>
      </c>
      <c r="E8" s="8"/>
      <c r="F8" s="8">
        <v>85</v>
      </c>
      <c r="G8" s="8" t="s">
        <v>100</v>
      </c>
      <c r="H8" s="2"/>
      <c r="I8" s="2"/>
      <c r="J8" s="2"/>
      <c r="K8" s="2"/>
      <c r="L8" s="2"/>
      <c r="M8" s="2"/>
    </row>
    <row r="9" spans="1:17" ht="18" x14ac:dyDescent="0.25">
      <c r="A9" s="8">
        <v>4</v>
      </c>
      <c r="B9" s="8">
        <v>4</v>
      </c>
      <c r="C9" s="63">
        <v>45877</v>
      </c>
      <c r="D9" s="33">
        <v>85</v>
      </c>
      <c r="E9" s="8"/>
      <c r="F9" s="8">
        <v>85</v>
      </c>
      <c r="G9" s="8" t="s">
        <v>101</v>
      </c>
      <c r="H9" s="2"/>
      <c r="I9" s="2"/>
      <c r="J9" s="2"/>
      <c r="K9" s="2"/>
      <c r="L9" s="2"/>
      <c r="M9" s="2"/>
    </row>
    <row r="10" spans="1:17" ht="18" x14ac:dyDescent="0.25">
      <c r="A10" s="8">
        <v>5</v>
      </c>
      <c r="B10" s="8">
        <v>5</v>
      </c>
      <c r="C10" s="63">
        <v>45877</v>
      </c>
      <c r="D10" s="33">
        <v>100</v>
      </c>
      <c r="E10" s="8"/>
      <c r="F10" s="8">
        <v>100</v>
      </c>
      <c r="G10" s="8" t="s">
        <v>102</v>
      </c>
      <c r="H10" s="2"/>
      <c r="I10" s="2"/>
      <c r="J10" s="2"/>
      <c r="K10" s="2"/>
      <c r="L10" s="2"/>
      <c r="M10" s="2"/>
    </row>
    <row r="11" spans="1:17" ht="18" x14ac:dyDescent="0.25">
      <c r="A11" s="8">
        <v>6</v>
      </c>
      <c r="B11" s="8">
        <v>6</v>
      </c>
      <c r="C11" s="63">
        <v>45877</v>
      </c>
      <c r="D11" s="33">
        <v>100</v>
      </c>
      <c r="E11" s="8"/>
      <c r="F11" s="8">
        <v>100</v>
      </c>
      <c r="G11" s="8" t="s">
        <v>103</v>
      </c>
      <c r="H11" s="2"/>
      <c r="I11" s="2"/>
      <c r="J11" s="2"/>
      <c r="K11" s="2"/>
      <c r="L11" s="2"/>
      <c r="M11" s="2"/>
    </row>
    <row r="12" spans="1:17" ht="18" x14ac:dyDescent="0.25">
      <c r="A12" s="8">
        <v>7</v>
      </c>
      <c r="B12" s="8">
        <v>7</v>
      </c>
      <c r="C12" s="63">
        <v>45877</v>
      </c>
      <c r="D12" s="33">
        <v>100</v>
      </c>
      <c r="E12" s="8"/>
      <c r="F12" s="8">
        <v>100</v>
      </c>
      <c r="G12" s="8" t="s">
        <v>104</v>
      </c>
      <c r="H12" s="2"/>
      <c r="I12" s="2"/>
      <c r="J12" s="2"/>
      <c r="K12" s="2"/>
      <c r="L12" s="2"/>
      <c r="M12" s="2"/>
    </row>
    <row r="13" spans="1:17" ht="18" x14ac:dyDescent="0.25">
      <c r="A13" s="8">
        <v>8</v>
      </c>
      <c r="B13" s="8">
        <v>8</v>
      </c>
      <c r="C13" s="51">
        <v>46006</v>
      </c>
      <c r="D13" s="33">
        <v>100</v>
      </c>
      <c r="E13" s="8"/>
      <c r="F13" s="8">
        <v>100</v>
      </c>
      <c r="G13" s="8" t="s">
        <v>105</v>
      </c>
      <c r="H13" s="2"/>
      <c r="I13" s="2"/>
      <c r="J13" s="2"/>
      <c r="K13" s="2"/>
      <c r="L13" s="2"/>
      <c r="M13" s="2"/>
    </row>
    <row r="14" spans="1:17" ht="18" x14ac:dyDescent="0.25">
      <c r="A14" s="8">
        <v>9</v>
      </c>
      <c r="B14" s="8">
        <v>9</v>
      </c>
      <c r="C14" s="51">
        <v>46006</v>
      </c>
      <c r="D14" s="33">
        <v>100</v>
      </c>
      <c r="E14" s="8"/>
      <c r="F14" s="8">
        <v>100</v>
      </c>
      <c r="G14" s="8" t="s">
        <v>106</v>
      </c>
      <c r="H14" s="2"/>
      <c r="I14" s="2"/>
      <c r="J14" s="2"/>
      <c r="K14" s="2"/>
      <c r="L14" s="2"/>
      <c r="M14" s="2"/>
    </row>
    <row r="15" spans="1:17" ht="18" x14ac:dyDescent="0.25">
      <c r="A15" s="8">
        <v>10</v>
      </c>
      <c r="B15" s="8">
        <v>10</v>
      </c>
      <c r="C15" s="51">
        <v>46006</v>
      </c>
      <c r="D15" s="33">
        <v>100</v>
      </c>
      <c r="E15" s="8"/>
      <c r="F15" s="8">
        <v>100</v>
      </c>
      <c r="G15" s="8" t="s">
        <v>107</v>
      </c>
      <c r="H15" s="2"/>
      <c r="I15" s="2"/>
      <c r="J15" s="2"/>
      <c r="K15" s="2"/>
      <c r="L15" s="2"/>
      <c r="M15" s="2"/>
    </row>
    <row r="16" spans="1:17" ht="18" x14ac:dyDescent="0.25">
      <c r="A16" s="8">
        <v>11</v>
      </c>
      <c r="B16" s="8">
        <v>11</v>
      </c>
      <c r="C16" s="51">
        <v>46006</v>
      </c>
      <c r="D16" s="33">
        <v>100</v>
      </c>
      <c r="E16" s="8"/>
      <c r="F16" s="8">
        <v>100</v>
      </c>
      <c r="G16" s="8" t="s">
        <v>108</v>
      </c>
      <c r="H16" s="2"/>
      <c r="I16" s="2"/>
      <c r="J16" s="2"/>
      <c r="K16" s="2"/>
      <c r="L16" s="2"/>
      <c r="M16" s="2"/>
    </row>
    <row r="17" spans="1:13" ht="18" x14ac:dyDescent="0.25">
      <c r="A17" s="8">
        <v>12</v>
      </c>
      <c r="B17" s="8">
        <v>12</v>
      </c>
      <c r="C17" s="51">
        <v>46006</v>
      </c>
      <c r="D17" s="33">
        <v>100</v>
      </c>
      <c r="E17" s="8"/>
      <c r="F17" s="8">
        <v>100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4" workbookViewId="0">
      <selection activeCell="E19" sqref="E19"/>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2400</v>
      </c>
      <c r="E4" s="11"/>
      <c r="F4" s="83">
        <f>SUM(F6:F2001)</f>
        <v>2400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44961</v>
      </c>
      <c r="D6" s="33">
        <v>200</v>
      </c>
      <c r="E6" s="8"/>
      <c r="F6" s="33">
        <v>200</v>
      </c>
      <c r="G6" s="8" t="s">
        <v>211</v>
      </c>
      <c r="H6" s="2"/>
      <c r="I6" s="2"/>
      <c r="J6" s="2"/>
      <c r="K6" s="2"/>
      <c r="L6" s="2"/>
      <c r="M6" s="2"/>
    </row>
    <row r="7" spans="1:17" ht="18" x14ac:dyDescent="0.25">
      <c r="A7" s="8">
        <v>2</v>
      </c>
      <c r="B7" s="73">
        <v>2</v>
      </c>
      <c r="C7" s="77">
        <v>44961</v>
      </c>
      <c r="D7" s="33">
        <v>200</v>
      </c>
      <c r="E7" s="8"/>
      <c r="F7" s="33">
        <v>200</v>
      </c>
      <c r="G7" s="8" t="s">
        <v>99</v>
      </c>
      <c r="H7" s="2"/>
      <c r="I7" s="2"/>
      <c r="J7" s="2"/>
      <c r="K7" s="2"/>
      <c r="L7" s="2"/>
      <c r="M7" s="2"/>
    </row>
    <row r="8" spans="1:17" ht="18" x14ac:dyDescent="0.25">
      <c r="A8" s="8">
        <v>3</v>
      </c>
      <c r="B8" s="73">
        <v>3</v>
      </c>
      <c r="C8" s="77">
        <v>44961</v>
      </c>
      <c r="D8" s="33">
        <v>200</v>
      </c>
      <c r="E8" s="8"/>
      <c r="F8" s="33">
        <v>200</v>
      </c>
      <c r="G8" s="8" t="s">
        <v>100</v>
      </c>
      <c r="H8" s="2"/>
      <c r="I8" s="2"/>
      <c r="J8" s="2"/>
      <c r="K8" s="2"/>
      <c r="L8" s="2"/>
      <c r="M8" s="2"/>
    </row>
    <row r="9" spans="1:17" ht="18" x14ac:dyDescent="0.25">
      <c r="A9" s="8">
        <v>4</v>
      </c>
      <c r="B9" s="73">
        <v>4</v>
      </c>
      <c r="C9" s="77">
        <v>44995</v>
      </c>
      <c r="D9" s="33">
        <v>200</v>
      </c>
      <c r="E9" s="8"/>
      <c r="F9" s="33">
        <v>200</v>
      </c>
      <c r="G9" s="8" t="s">
        <v>101</v>
      </c>
      <c r="H9" s="2"/>
      <c r="I9" s="2"/>
      <c r="J9" s="2"/>
      <c r="K9" s="2"/>
      <c r="L9" s="2"/>
      <c r="M9" s="2"/>
    </row>
    <row r="10" spans="1:17" ht="18" x14ac:dyDescent="0.25">
      <c r="A10" s="8">
        <v>5</v>
      </c>
      <c r="B10" s="73">
        <v>5</v>
      </c>
      <c r="C10" s="77">
        <v>44995</v>
      </c>
      <c r="D10" s="33">
        <v>200</v>
      </c>
      <c r="E10" s="8"/>
      <c r="F10" s="33">
        <v>200</v>
      </c>
      <c r="G10" s="8" t="s">
        <v>102</v>
      </c>
      <c r="H10" s="2"/>
      <c r="I10" s="2"/>
      <c r="J10" s="2"/>
      <c r="K10" s="2"/>
      <c r="L10" s="2"/>
      <c r="M10" s="2"/>
    </row>
    <row r="11" spans="1:17" ht="18" x14ac:dyDescent="0.25">
      <c r="A11" s="8">
        <v>6</v>
      </c>
      <c r="B11" s="73">
        <v>6</v>
      </c>
      <c r="C11" s="77">
        <v>44995</v>
      </c>
      <c r="D11" s="33">
        <v>200</v>
      </c>
      <c r="E11" s="8"/>
      <c r="F11" s="33">
        <v>200</v>
      </c>
      <c r="G11" s="8" t="s">
        <v>103</v>
      </c>
      <c r="H11" s="2"/>
      <c r="I11" s="2"/>
      <c r="J11" s="2"/>
      <c r="K11" s="2"/>
      <c r="L11" s="2"/>
      <c r="M11" s="2"/>
    </row>
    <row r="12" spans="1:17" ht="18" x14ac:dyDescent="0.25">
      <c r="A12" s="8">
        <v>7</v>
      </c>
      <c r="B12" s="73">
        <v>7</v>
      </c>
      <c r="C12" s="77">
        <v>45475</v>
      </c>
      <c r="D12" s="33">
        <v>200</v>
      </c>
      <c r="E12" s="8"/>
      <c r="F12" s="33">
        <v>200</v>
      </c>
      <c r="G12" s="8" t="s">
        <v>104</v>
      </c>
      <c r="H12" s="2"/>
      <c r="I12" s="2"/>
      <c r="J12" s="2"/>
      <c r="K12" s="2"/>
      <c r="L12" s="2"/>
      <c r="M12" s="2"/>
    </row>
    <row r="13" spans="1:17" ht="18" x14ac:dyDescent="0.25">
      <c r="A13" s="8">
        <v>8</v>
      </c>
      <c r="B13" s="73">
        <v>8</v>
      </c>
      <c r="C13" s="77">
        <v>45475</v>
      </c>
      <c r="D13" s="33">
        <v>200</v>
      </c>
      <c r="E13" s="8"/>
      <c r="F13" s="33">
        <v>200</v>
      </c>
      <c r="G13" s="8" t="s">
        <v>105</v>
      </c>
      <c r="H13" s="2"/>
      <c r="I13" s="2"/>
      <c r="J13" s="2"/>
      <c r="K13" s="2"/>
      <c r="L13" s="2"/>
      <c r="M13" s="2"/>
    </row>
    <row r="14" spans="1:17" ht="18" x14ac:dyDescent="0.25">
      <c r="A14" s="8">
        <v>9</v>
      </c>
      <c r="B14" s="73">
        <v>9</v>
      </c>
      <c r="C14" s="77">
        <v>45475</v>
      </c>
      <c r="D14" s="33">
        <v>200</v>
      </c>
      <c r="E14" s="8"/>
      <c r="F14" s="33">
        <v>200</v>
      </c>
      <c r="G14" s="8" t="s">
        <v>106</v>
      </c>
      <c r="H14" s="2"/>
      <c r="I14" s="2"/>
      <c r="J14" s="2"/>
      <c r="K14" s="2"/>
      <c r="L14" s="2"/>
      <c r="M14" s="2"/>
    </row>
    <row r="15" spans="1:17" ht="18" x14ac:dyDescent="0.25">
      <c r="A15" s="8">
        <v>10</v>
      </c>
      <c r="B15" s="73">
        <v>10</v>
      </c>
      <c r="C15" s="77">
        <v>45942</v>
      </c>
      <c r="D15" s="33">
        <v>200</v>
      </c>
      <c r="E15" s="8"/>
      <c r="F15" s="33">
        <v>200</v>
      </c>
      <c r="G15" s="8" t="s">
        <v>107</v>
      </c>
      <c r="H15" s="2"/>
      <c r="I15" s="2"/>
      <c r="J15" s="2"/>
      <c r="K15" s="2"/>
      <c r="L15" s="2"/>
      <c r="M15" s="2"/>
    </row>
    <row r="16" spans="1:17" ht="18" x14ac:dyDescent="0.25">
      <c r="A16" s="8">
        <v>11</v>
      </c>
      <c r="B16" s="73">
        <v>11</v>
      </c>
      <c r="C16" s="77">
        <v>45942</v>
      </c>
      <c r="D16" s="33">
        <v>200</v>
      </c>
      <c r="E16" s="8"/>
      <c r="F16" s="33">
        <v>200</v>
      </c>
      <c r="G16" s="8" t="s">
        <v>108</v>
      </c>
      <c r="H16" s="2"/>
      <c r="I16" s="2"/>
      <c r="J16" s="2"/>
      <c r="K16" s="2"/>
      <c r="L16" s="2"/>
      <c r="M16" s="2"/>
    </row>
    <row r="17" spans="1:13" ht="18" x14ac:dyDescent="0.25">
      <c r="A17" s="8">
        <v>12</v>
      </c>
      <c r="B17" s="73">
        <v>12</v>
      </c>
      <c r="C17" s="77">
        <v>45942</v>
      </c>
      <c r="D17" s="33">
        <v>200</v>
      </c>
      <c r="E17" s="8"/>
      <c r="F17" s="33">
        <v>200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C13" sqref="C13:C17"/>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1140</v>
      </c>
      <c r="E4" s="11"/>
      <c r="F4" s="11">
        <f>SUM(F6:F2001)</f>
        <v>1140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45769</v>
      </c>
      <c r="D6" s="33">
        <v>85</v>
      </c>
      <c r="E6" s="8"/>
      <c r="F6" s="8">
        <v>85</v>
      </c>
      <c r="G6" s="8" t="s">
        <v>112</v>
      </c>
      <c r="H6" s="2"/>
      <c r="I6" s="2"/>
      <c r="J6" s="2"/>
      <c r="K6" s="2"/>
      <c r="L6" s="2"/>
      <c r="M6" s="2"/>
    </row>
    <row r="7" spans="1:17" ht="18" x14ac:dyDescent="0.25">
      <c r="A7" s="8">
        <v>2</v>
      </c>
      <c r="B7" s="8">
        <v>2</v>
      </c>
      <c r="C7" s="51">
        <v>45769</v>
      </c>
      <c r="D7" s="33">
        <v>85</v>
      </c>
      <c r="E7" s="8"/>
      <c r="F7" s="8">
        <v>85</v>
      </c>
      <c r="G7" s="8" t="s">
        <v>113</v>
      </c>
      <c r="H7" s="2"/>
      <c r="I7" s="2"/>
      <c r="J7" s="2"/>
      <c r="K7" s="2"/>
      <c r="L7" s="2"/>
      <c r="M7" s="2"/>
    </row>
    <row r="8" spans="1:17" ht="18" x14ac:dyDescent="0.25">
      <c r="A8" s="8">
        <v>3</v>
      </c>
      <c r="B8" s="8">
        <v>3</v>
      </c>
      <c r="C8" s="51">
        <v>45877</v>
      </c>
      <c r="D8" s="33">
        <v>85</v>
      </c>
      <c r="E8" s="8"/>
      <c r="F8" s="8">
        <v>85</v>
      </c>
      <c r="G8" s="8" t="s">
        <v>100</v>
      </c>
      <c r="H8" s="2"/>
      <c r="I8" s="2"/>
      <c r="J8" s="2"/>
      <c r="K8" s="2"/>
      <c r="L8" s="2"/>
      <c r="M8" s="2"/>
    </row>
    <row r="9" spans="1:17" ht="18" x14ac:dyDescent="0.25">
      <c r="A9" s="8">
        <v>4</v>
      </c>
      <c r="B9" s="8">
        <v>4</v>
      </c>
      <c r="C9" s="51">
        <v>45877</v>
      </c>
      <c r="D9" s="33">
        <v>85</v>
      </c>
      <c r="E9" s="8"/>
      <c r="F9" s="8">
        <v>85</v>
      </c>
      <c r="G9" s="8" t="s">
        <v>101</v>
      </c>
      <c r="H9" s="2"/>
      <c r="I9" s="2"/>
      <c r="J9" s="2"/>
      <c r="K9" s="2"/>
      <c r="L9" s="2"/>
      <c r="M9" s="2"/>
    </row>
    <row r="10" spans="1:17" ht="18" x14ac:dyDescent="0.25">
      <c r="A10" s="8">
        <v>5</v>
      </c>
      <c r="B10" s="8">
        <v>5</v>
      </c>
      <c r="C10" s="51">
        <v>45877</v>
      </c>
      <c r="D10" s="33">
        <v>100</v>
      </c>
      <c r="E10" s="8"/>
      <c r="F10" s="8">
        <v>100</v>
      </c>
      <c r="G10" s="8" t="s">
        <v>102</v>
      </c>
      <c r="H10" s="2"/>
      <c r="I10" s="2"/>
      <c r="J10" s="2"/>
      <c r="K10" s="2"/>
      <c r="L10" s="2"/>
      <c r="M10" s="2"/>
    </row>
    <row r="11" spans="1:17" ht="18" x14ac:dyDescent="0.25">
      <c r="A11" s="8">
        <v>6</v>
      </c>
      <c r="B11" s="8">
        <v>6</v>
      </c>
      <c r="C11" s="51">
        <v>45877</v>
      </c>
      <c r="D11" s="33">
        <v>100</v>
      </c>
      <c r="E11" s="8"/>
      <c r="F11" s="8">
        <v>100</v>
      </c>
      <c r="G11" s="8" t="s">
        <v>103</v>
      </c>
      <c r="H11" s="2"/>
      <c r="I11" s="2"/>
      <c r="J11" s="2"/>
      <c r="K11" s="2"/>
      <c r="L11" s="2"/>
      <c r="M11" s="2"/>
    </row>
    <row r="12" spans="1:17" ht="18" x14ac:dyDescent="0.25">
      <c r="A12" s="8">
        <v>7</v>
      </c>
      <c r="B12" s="8">
        <v>7</v>
      </c>
      <c r="C12" s="51">
        <v>45877</v>
      </c>
      <c r="D12" s="33">
        <v>100</v>
      </c>
      <c r="E12" s="8"/>
      <c r="F12" s="8">
        <v>100</v>
      </c>
      <c r="G12" s="8" t="s">
        <v>104</v>
      </c>
      <c r="H12" s="2"/>
      <c r="I12" s="2"/>
      <c r="J12" s="2"/>
      <c r="K12" s="2"/>
      <c r="L12" s="2"/>
      <c r="M12" s="2"/>
    </row>
    <row r="13" spans="1:17" ht="18" x14ac:dyDescent="0.25">
      <c r="A13" s="8">
        <v>8</v>
      </c>
      <c r="B13" s="8">
        <v>8</v>
      </c>
      <c r="C13" s="51">
        <v>46006</v>
      </c>
      <c r="D13" s="33">
        <v>100</v>
      </c>
      <c r="E13" s="8"/>
      <c r="F13" s="8">
        <v>100</v>
      </c>
      <c r="G13" s="8" t="s">
        <v>105</v>
      </c>
      <c r="H13" s="2"/>
      <c r="I13" s="2"/>
      <c r="J13" s="2"/>
      <c r="K13" s="2"/>
      <c r="L13" s="2"/>
      <c r="M13" s="2"/>
    </row>
    <row r="14" spans="1:17" ht="18" x14ac:dyDescent="0.25">
      <c r="A14" s="8">
        <v>9</v>
      </c>
      <c r="B14" s="8">
        <v>9</v>
      </c>
      <c r="C14" s="51">
        <v>46006</v>
      </c>
      <c r="D14" s="33">
        <v>100</v>
      </c>
      <c r="E14" s="8"/>
      <c r="F14" s="8">
        <v>100</v>
      </c>
      <c r="G14" s="8" t="s">
        <v>106</v>
      </c>
      <c r="H14" s="2"/>
      <c r="I14" s="2"/>
      <c r="J14" s="2"/>
      <c r="K14" s="2"/>
      <c r="L14" s="2"/>
      <c r="M14" s="2"/>
    </row>
    <row r="15" spans="1:17" ht="18" x14ac:dyDescent="0.25">
      <c r="A15" s="8">
        <v>10</v>
      </c>
      <c r="B15" s="8">
        <v>10</v>
      </c>
      <c r="C15" s="51">
        <v>46006</v>
      </c>
      <c r="D15" s="33">
        <v>100</v>
      </c>
      <c r="E15" s="8"/>
      <c r="F15" s="8">
        <v>100</v>
      </c>
      <c r="G15" s="8" t="s">
        <v>107</v>
      </c>
      <c r="H15" s="2"/>
      <c r="I15" s="2"/>
      <c r="J15" s="2"/>
      <c r="K15" s="2"/>
      <c r="L15" s="2"/>
      <c r="M15" s="2"/>
    </row>
    <row r="16" spans="1:17" ht="18" x14ac:dyDescent="0.25">
      <c r="A16" s="8">
        <v>11</v>
      </c>
      <c r="B16" s="8">
        <v>11</v>
      </c>
      <c r="C16" s="51">
        <v>46006</v>
      </c>
      <c r="D16" s="33">
        <v>100</v>
      </c>
      <c r="E16" s="8"/>
      <c r="F16" s="8">
        <v>100</v>
      </c>
      <c r="G16" s="8" t="s">
        <v>108</v>
      </c>
      <c r="H16" s="2"/>
      <c r="I16" s="2"/>
      <c r="J16" s="2"/>
      <c r="K16" s="2"/>
      <c r="L16" s="2"/>
      <c r="M16" s="2"/>
    </row>
    <row r="17" spans="1:17" ht="18" x14ac:dyDescent="0.25">
      <c r="A17" s="8">
        <v>12</v>
      </c>
      <c r="B17" s="8">
        <v>12</v>
      </c>
      <c r="C17" s="51">
        <v>46006</v>
      </c>
      <c r="D17" s="33">
        <v>100</v>
      </c>
      <c r="E17" s="8"/>
      <c r="F17" s="8">
        <v>100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293</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A3" workbookViewId="0">
      <selection activeCell="G8" sqref="G8"/>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1200</v>
      </c>
      <c r="E4" s="11"/>
      <c r="F4" s="11">
        <f>SUM(F6:F2001)</f>
        <v>1200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46007</v>
      </c>
      <c r="D6" s="90">
        <v>100</v>
      </c>
      <c r="E6" s="8"/>
      <c r="F6" s="8">
        <v>100</v>
      </c>
      <c r="G6" s="8" t="s">
        <v>348</v>
      </c>
      <c r="H6" s="2"/>
      <c r="I6" s="2"/>
      <c r="J6" s="2"/>
      <c r="K6" s="2"/>
      <c r="L6" s="2"/>
      <c r="M6" s="2"/>
    </row>
    <row r="7" spans="1:17" ht="18" x14ac:dyDescent="0.25">
      <c r="A7" s="8">
        <v>2</v>
      </c>
      <c r="B7" s="8">
        <v>2</v>
      </c>
      <c r="C7" s="9">
        <v>46007</v>
      </c>
      <c r="D7" s="90">
        <v>100</v>
      </c>
      <c r="E7" s="8"/>
      <c r="F7" s="8">
        <v>100</v>
      </c>
      <c r="G7" s="8" t="s">
        <v>349</v>
      </c>
      <c r="H7" s="2"/>
      <c r="I7" s="2"/>
      <c r="J7" s="2"/>
      <c r="K7" s="2"/>
      <c r="L7" s="2"/>
      <c r="M7" s="2"/>
    </row>
    <row r="8" spans="1:17" ht="18" x14ac:dyDescent="0.25">
      <c r="A8" s="8">
        <v>3</v>
      </c>
      <c r="B8" s="8">
        <v>3</v>
      </c>
      <c r="C8" s="9">
        <v>46007</v>
      </c>
      <c r="D8" s="90">
        <v>100</v>
      </c>
      <c r="E8" s="8"/>
      <c r="F8" s="8">
        <v>100</v>
      </c>
      <c r="G8" s="8" t="s">
        <v>100</v>
      </c>
      <c r="H8" s="2"/>
      <c r="I8" s="2"/>
      <c r="J8" s="2"/>
      <c r="K8" s="2"/>
      <c r="L8" s="2"/>
      <c r="M8" s="2"/>
    </row>
    <row r="9" spans="1:17" ht="18" x14ac:dyDescent="0.25">
      <c r="A9" s="8">
        <v>4</v>
      </c>
      <c r="B9" s="8">
        <v>4</v>
      </c>
      <c r="C9" s="9">
        <v>46007</v>
      </c>
      <c r="D9" s="90">
        <v>100</v>
      </c>
      <c r="E9" s="8"/>
      <c r="F9" s="8">
        <v>100</v>
      </c>
      <c r="G9" s="8" t="s">
        <v>101</v>
      </c>
      <c r="H9" s="2"/>
      <c r="I9" s="2"/>
      <c r="J9" s="2"/>
      <c r="K9" s="2"/>
      <c r="L9" s="2"/>
      <c r="M9" s="2"/>
    </row>
    <row r="10" spans="1:17" ht="18" x14ac:dyDescent="0.25">
      <c r="A10" s="8">
        <v>5</v>
      </c>
      <c r="B10" s="8">
        <v>5</v>
      </c>
      <c r="C10" s="9">
        <v>46007</v>
      </c>
      <c r="D10" s="90">
        <v>100</v>
      </c>
      <c r="E10" s="8"/>
      <c r="F10" s="8">
        <v>100</v>
      </c>
      <c r="G10" s="8" t="s">
        <v>102</v>
      </c>
      <c r="H10" s="2"/>
      <c r="I10" s="2"/>
      <c r="J10" s="2"/>
      <c r="K10" s="2"/>
      <c r="L10" s="2"/>
      <c r="M10" s="2"/>
    </row>
    <row r="11" spans="1:17" ht="18" x14ac:dyDescent="0.25">
      <c r="A11" s="8">
        <v>6</v>
      </c>
      <c r="B11" s="8">
        <v>6</v>
      </c>
      <c r="C11" s="9">
        <v>46007</v>
      </c>
      <c r="D11" s="90">
        <v>100</v>
      </c>
      <c r="E11" s="8"/>
      <c r="F11" s="8">
        <v>100</v>
      </c>
      <c r="G11" s="8" t="s">
        <v>103</v>
      </c>
      <c r="H11" s="2"/>
      <c r="I11" s="2"/>
      <c r="J11" s="2"/>
      <c r="K11" s="2"/>
      <c r="L11" s="2"/>
      <c r="M11" s="2"/>
    </row>
    <row r="12" spans="1:17" ht="18" x14ac:dyDescent="0.25">
      <c r="A12" s="8">
        <v>7</v>
      </c>
      <c r="B12" s="8">
        <v>7</v>
      </c>
      <c r="C12" s="9">
        <v>46007</v>
      </c>
      <c r="D12" s="90">
        <v>100</v>
      </c>
      <c r="E12" s="8"/>
      <c r="F12" s="8">
        <v>100</v>
      </c>
      <c r="G12" s="8" t="s">
        <v>104</v>
      </c>
      <c r="H12" s="2"/>
      <c r="I12" s="2"/>
      <c r="J12" s="2"/>
      <c r="K12" s="2"/>
      <c r="L12" s="2"/>
      <c r="M12" s="2"/>
    </row>
    <row r="13" spans="1:17" ht="18" x14ac:dyDescent="0.25">
      <c r="A13" s="8">
        <v>8</v>
      </c>
      <c r="B13" s="8">
        <v>8</v>
      </c>
      <c r="C13" s="9">
        <v>46007</v>
      </c>
      <c r="D13" s="90">
        <v>100</v>
      </c>
      <c r="E13" s="8"/>
      <c r="F13" s="8">
        <v>100</v>
      </c>
      <c r="G13" s="8" t="s">
        <v>105</v>
      </c>
      <c r="H13" s="2"/>
      <c r="I13" s="2"/>
      <c r="J13" s="2"/>
      <c r="K13" s="2"/>
      <c r="L13" s="2"/>
      <c r="M13" s="2"/>
    </row>
    <row r="14" spans="1:17" ht="18" x14ac:dyDescent="0.25">
      <c r="A14" s="8">
        <v>9</v>
      </c>
      <c r="B14" s="8">
        <v>9</v>
      </c>
      <c r="C14" s="9">
        <v>46007</v>
      </c>
      <c r="D14" s="90">
        <v>100</v>
      </c>
      <c r="E14" s="8"/>
      <c r="F14" s="8">
        <v>100</v>
      </c>
      <c r="G14" s="8" t="s">
        <v>106</v>
      </c>
      <c r="H14" s="2"/>
      <c r="I14" s="2"/>
      <c r="J14" s="2"/>
      <c r="K14" s="2"/>
      <c r="L14" s="2"/>
      <c r="M14" s="2"/>
    </row>
    <row r="15" spans="1:17" ht="18" x14ac:dyDescent="0.25">
      <c r="A15" s="8">
        <v>10</v>
      </c>
      <c r="B15" s="8">
        <v>10</v>
      </c>
      <c r="C15" s="9">
        <v>46007</v>
      </c>
      <c r="D15" s="90">
        <v>100</v>
      </c>
      <c r="E15" s="8"/>
      <c r="F15" s="8">
        <v>100</v>
      </c>
      <c r="G15" s="8" t="s">
        <v>107</v>
      </c>
      <c r="H15" s="2"/>
      <c r="I15" s="2"/>
      <c r="J15" s="2"/>
      <c r="K15" s="2"/>
      <c r="L15" s="2"/>
      <c r="M15" s="2"/>
    </row>
    <row r="16" spans="1:17" ht="18" x14ac:dyDescent="0.25">
      <c r="A16" s="8">
        <v>11</v>
      </c>
      <c r="B16" s="8">
        <v>11</v>
      </c>
      <c r="C16" s="9">
        <v>46007</v>
      </c>
      <c r="D16" s="90">
        <v>100</v>
      </c>
      <c r="E16" s="8"/>
      <c r="F16" s="8">
        <v>100</v>
      </c>
      <c r="G16" s="8" t="s">
        <v>108</v>
      </c>
      <c r="H16" s="2"/>
      <c r="I16" s="2"/>
      <c r="J16" s="2"/>
      <c r="K16" s="2"/>
      <c r="L16" s="2"/>
      <c r="M16" s="2"/>
    </row>
    <row r="17" spans="1:13" ht="18" x14ac:dyDescent="0.25">
      <c r="A17" s="8">
        <v>12</v>
      </c>
      <c r="B17" s="8">
        <v>12</v>
      </c>
      <c r="C17" s="9">
        <v>46007</v>
      </c>
      <c r="D17" s="90">
        <v>100</v>
      </c>
      <c r="E17" s="8"/>
      <c r="F17" s="8">
        <v>100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3" workbookViewId="0">
      <selection activeCell="D6" sqref="D6:D17"/>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1200</v>
      </c>
      <c r="E4" s="11"/>
      <c r="F4" s="11">
        <f>SUM(F6:F2001)</f>
        <v>1200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100</v>
      </c>
      <c r="E6" s="8"/>
      <c r="F6" s="8">
        <v>100</v>
      </c>
      <c r="G6" s="8" t="s">
        <v>211</v>
      </c>
      <c r="H6" s="2"/>
      <c r="I6" s="2"/>
      <c r="J6" s="2"/>
      <c r="K6" s="2"/>
      <c r="L6" s="2"/>
      <c r="M6" s="2"/>
    </row>
    <row r="7" spans="1:17" ht="18" x14ac:dyDescent="0.25">
      <c r="A7" s="8">
        <v>2</v>
      </c>
      <c r="B7" s="8">
        <v>2</v>
      </c>
      <c r="C7" s="63">
        <v>45318</v>
      </c>
      <c r="D7" s="33">
        <v>100</v>
      </c>
      <c r="E7" s="8"/>
      <c r="F7" s="8">
        <v>100</v>
      </c>
      <c r="G7" s="8" t="s">
        <v>99</v>
      </c>
      <c r="H7" s="2"/>
      <c r="I7" s="2"/>
      <c r="J7" s="2"/>
      <c r="K7" s="2"/>
      <c r="L7" s="2"/>
      <c r="M7" s="2"/>
    </row>
    <row r="8" spans="1:17" ht="18" x14ac:dyDescent="0.25">
      <c r="A8" s="8">
        <v>3</v>
      </c>
      <c r="B8" s="8">
        <v>3</v>
      </c>
      <c r="C8" s="63">
        <v>45318</v>
      </c>
      <c r="D8" s="33">
        <v>100</v>
      </c>
      <c r="E8" s="8"/>
      <c r="F8" s="8">
        <v>100</v>
      </c>
      <c r="G8" s="8" t="s">
        <v>100</v>
      </c>
      <c r="H8" s="2"/>
      <c r="I8" s="2"/>
      <c r="J8" s="2"/>
      <c r="K8" s="2"/>
      <c r="L8" s="2"/>
      <c r="M8" s="2"/>
    </row>
    <row r="9" spans="1:17" ht="18" x14ac:dyDescent="0.25">
      <c r="A9" s="8">
        <v>4</v>
      </c>
      <c r="B9" s="8">
        <v>4</v>
      </c>
      <c r="C9" s="63">
        <v>45318</v>
      </c>
      <c r="D9" s="33">
        <v>100</v>
      </c>
      <c r="E9" s="8"/>
      <c r="F9" s="8">
        <v>100</v>
      </c>
      <c r="G9" s="8" t="s">
        <v>101</v>
      </c>
      <c r="H9" s="2"/>
      <c r="I9" s="2"/>
      <c r="J9" s="2"/>
      <c r="K9" s="2"/>
      <c r="L9" s="2"/>
      <c r="M9" s="2"/>
    </row>
    <row r="10" spans="1:17" ht="18" x14ac:dyDescent="0.25">
      <c r="A10" s="8">
        <v>5</v>
      </c>
      <c r="B10" s="8">
        <v>5</v>
      </c>
      <c r="C10" s="63">
        <v>45318</v>
      </c>
      <c r="D10" s="33">
        <v>100</v>
      </c>
      <c r="E10" s="8"/>
      <c r="F10" s="8">
        <v>100</v>
      </c>
      <c r="G10" s="8" t="s">
        <v>102</v>
      </c>
      <c r="H10" s="2"/>
      <c r="I10" s="2"/>
      <c r="J10" s="2"/>
      <c r="K10" s="2"/>
      <c r="L10" s="2"/>
      <c r="M10" s="2"/>
    </row>
    <row r="11" spans="1:17" ht="18" x14ac:dyDescent="0.25">
      <c r="A11" s="8">
        <v>6</v>
      </c>
      <c r="B11" s="8">
        <v>6</v>
      </c>
      <c r="C11" s="63">
        <v>45318</v>
      </c>
      <c r="D11" s="33">
        <v>100</v>
      </c>
      <c r="E11" s="8"/>
      <c r="F11" s="8">
        <v>100</v>
      </c>
      <c r="G11" s="8" t="s">
        <v>103</v>
      </c>
      <c r="H11" s="2"/>
      <c r="I11" s="2"/>
      <c r="J11" s="2"/>
      <c r="K11" s="2"/>
      <c r="L11" s="2"/>
      <c r="M11" s="2"/>
    </row>
    <row r="12" spans="1:17" ht="18" x14ac:dyDescent="0.25">
      <c r="A12" s="8">
        <v>7</v>
      </c>
      <c r="B12" s="8">
        <v>7</v>
      </c>
      <c r="C12" s="51">
        <v>45569</v>
      </c>
      <c r="D12" s="33">
        <v>100</v>
      </c>
      <c r="E12" s="8"/>
      <c r="F12" s="8">
        <v>100</v>
      </c>
      <c r="G12" s="8" t="s">
        <v>104</v>
      </c>
      <c r="H12" s="2"/>
      <c r="I12" s="2"/>
      <c r="J12" s="2"/>
      <c r="K12" s="2"/>
      <c r="L12" s="2"/>
      <c r="M12" s="2"/>
    </row>
    <row r="13" spans="1:17" ht="18" x14ac:dyDescent="0.25">
      <c r="A13" s="8">
        <v>8</v>
      </c>
      <c r="B13" s="8">
        <v>8</v>
      </c>
      <c r="C13" s="51">
        <v>45569</v>
      </c>
      <c r="D13" s="33">
        <v>100</v>
      </c>
      <c r="E13" s="8"/>
      <c r="F13" s="8">
        <v>100</v>
      </c>
      <c r="G13" s="8" t="s">
        <v>105</v>
      </c>
      <c r="H13" s="2"/>
      <c r="I13" s="2"/>
      <c r="J13" s="2"/>
      <c r="K13" s="2"/>
      <c r="L13" s="2"/>
      <c r="M13" s="2"/>
    </row>
    <row r="14" spans="1:17" ht="18" x14ac:dyDescent="0.25">
      <c r="A14" s="8">
        <v>9</v>
      </c>
      <c r="B14" s="8">
        <v>9</v>
      </c>
      <c r="C14" s="51">
        <v>45569</v>
      </c>
      <c r="D14" s="33">
        <v>100</v>
      </c>
      <c r="E14" s="8"/>
      <c r="F14" s="8">
        <v>100</v>
      </c>
      <c r="G14" s="8" t="s">
        <v>106</v>
      </c>
      <c r="H14" s="2"/>
      <c r="I14" s="2"/>
      <c r="J14" s="2"/>
      <c r="K14" s="2"/>
      <c r="L14" s="2"/>
      <c r="M14" s="2"/>
    </row>
    <row r="15" spans="1:17" ht="18" x14ac:dyDescent="0.25">
      <c r="A15" s="8">
        <v>10</v>
      </c>
      <c r="B15" s="8">
        <v>10</v>
      </c>
      <c r="C15" s="51">
        <v>45569</v>
      </c>
      <c r="D15" s="33">
        <v>100</v>
      </c>
      <c r="E15" s="8"/>
      <c r="F15" s="8">
        <v>100</v>
      </c>
      <c r="G15" s="8" t="s">
        <v>107</v>
      </c>
      <c r="H15" s="2"/>
      <c r="I15" s="2"/>
      <c r="J15" s="2"/>
      <c r="K15" s="2"/>
      <c r="L15" s="2"/>
      <c r="M15" s="2"/>
    </row>
    <row r="16" spans="1:17" ht="18" x14ac:dyDescent="0.25">
      <c r="A16" s="8">
        <v>11</v>
      </c>
      <c r="B16" s="8">
        <v>11</v>
      </c>
      <c r="C16" s="51">
        <v>45569</v>
      </c>
      <c r="D16" s="33">
        <v>100</v>
      </c>
      <c r="E16" s="8"/>
      <c r="F16" s="8">
        <v>100</v>
      </c>
      <c r="G16" s="8" t="s">
        <v>108</v>
      </c>
      <c r="H16" s="2"/>
      <c r="I16" s="2"/>
      <c r="J16" s="2"/>
      <c r="K16" s="2"/>
      <c r="L16" s="2"/>
      <c r="M16" s="2"/>
    </row>
    <row r="17" spans="1:13" ht="18" x14ac:dyDescent="0.25">
      <c r="A17" s="8">
        <v>12</v>
      </c>
      <c r="B17" s="8">
        <v>12</v>
      </c>
      <c r="C17" s="51">
        <v>45569</v>
      </c>
      <c r="D17" s="33">
        <v>100</v>
      </c>
      <c r="E17" s="8"/>
      <c r="F17" s="8">
        <v>100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A2" workbookViewId="0">
      <selection activeCell="E7" sqref="E7"/>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1200</v>
      </c>
      <c r="E4" s="11"/>
      <c r="F4" s="11">
        <f>SUM(F6:F2004)</f>
        <v>1200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45830</v>
      </c>
      <c r="D6" s="55">
        <v>100</v>
      </c>
      <c r="E6" s="8"/>
      <c r="F6" s="8">
        <v>100</v>
      </c>
      <c r="G6" s="8" t="s">
        <v>208</v>
      </c>
      <c r="H6" s="2"/>
      <c r="I6" s="2"/>
      <c r="J6" s="2"/>
      <c r="K6" s="2"/>
      <c r="L6" s="2"/>
      <c r="M6" s="2"/>
      <c r="O6" s="2"/>
      <c r="P6" s="8">
        <v>1</v>
      </c>
      <c r="Q6" s="8"/>
      <c r="R6" s="2"/>
      <c r="S6" s="2"/>
    </row>
    <row r="7" spans="1:22" ht="18" x14ac:dyDescent="0.25">
      <c r="A7" s="8">
        <v>2</v>
      </c>
      <c r="B7" s="8">
        <v>2</v>
      </c>
      <c r="C7" s="51">
        <v>45830</v>
      </c>
      <c r="D7" s="55">
        <v>100</v>
      </c>
      <c r="E7" s="8"/>
      <c r="F7" s="8">
        <v>100</v>
      </c>
      <c r="G7" s="8" t="s">
        <v>209</v>
      </c>
      <c r="H7" s="2"/>
      <c r="I7" s="2"/>
      <c r="J7" s="2"/>
      <c r="K7" s="2"/>
      <c r="L7" s="2"/>
      <c r="M7" s="2"/>
      <c r="O7" s="2"/>
      <c r="P7" s="8">
        <v>2</v>
      </c>
      <c r="Q7" s="8"/>
      <c r="R7" s="2"/>
      <c r="S7" s="2"/>
    </row>
    <row r="8" spans="1:22" ht="18" x14ac:dyDescent="0.25">
      <c r="A8" s="8">
        <v>3</v>
      </c>
      <c r="B8" s="8">
        <v>3</v>
      </c>
      <c r="C8" s="51">
        <v>45830</v>
      </c>
      <c r="D8" s="55">
        <v>100</v>
      </c>
      <c r="E8" s="8"/>
      <c r="F8" s="8">
        <v>100</v>
      </c>
      <c r="G8" s="8" t="s">
        <v>100</v>
      </c>
      <c r="H8" s="2"/>
      <c r="I8" s="2"/>
      <c r="J8" s="2"/>
      <c r="K8" s="2"/>
      <c r="L8" s="2"/>
      <c r="M8" s="2"/>
      <c r="O8" s="8"/>
      <c r="P8" s="8">
        <v>3</v>
      </c>
      <c r="Q8" s="8"/>
      <c r="R8" s="2"/>
      <c r="S8" s="2"/>
    </row>
    <row r="9" spans="1:22" ht="18" x14ac:dyDescent="0.25">
      <c r="A9" s="8">
        <v>4</v>
      </c>
      <c r="B9" s="8">
        <v>4</v>
      </c>
      <c r="C9" s="51">
        <v>45830</v>
      </c>
      <c r="D9" s="55">
        <v>100</v>
      </c>
      <c r="E9" s="8"/>
      <c r="F9" s="8">
        <v>100</v>
      </c>
      <c r="G9" s="8" t="s">
        <v>101</v>
      </c>
      <c r="H9" s="2"/>
      <c r="I9" s="2"/>
      <c r="J9" s="2"/>
      <c r="K9" s="2"/>
      <c r="L9" s="2"/>
      <c r="M9" s="2"/>
      <c r="O9" s="8"/>
      <c r="P9" s="8">
        <v>4</v>
      </c>
      <c r="Q9" s="8"/>
      <c r="R9" s="2"/>
      <c r="S9" s="2"/>
    </row>
    <row r="10" spans="1:22" ht="18" x14ac:dyDescent="0.25">
      <c r="A10" s="8">
        <v>5</v>
      </c>
      <c r="B10" s="8">
        <v>5</v>
      </c>
      <c r="C10" s="51">
        <v>45830</v>
      </c>
      <c r="D10" s="55">
        <v>100</v>
      </c>
      <c r="E10" s="8"/>
      <c r="F10" s="8">
        <v>100</v>
      </c>
      <c r="G10" s="8" t="s">
        <v>102</v>
      </c>
      <c r="H10" s="2"/>
      <c r="I10" s="2"/>
      <c r="J10" s="2"/>
      <c r="K10" s="2"/>
      <c r="L10" s="2"/>
      <c r="M10" s="2"/>
      <c r="O10" s="8"/>
      <c r="P10" s="8">
        <v>5</v>
      </c>
      <c r="Q10" s="8"/>
      <c r="R10" s="2"/>
      <c r="S10" s="2"/>
    </row>
    <row r="11" spans="1:22" ht="18" x14ac:dyDescent="0.25">
      <c r="A11" s="8">
        <v>6</v>
      </c>
      <c r="B11" s="8">
        <v>6</v>
      </c>
      <c r="C11" s="51">
        <v>45830</v>
      </c>
      <c r="D11" s="55">
        <v>100</v>
      </c>
      <c r="E11" s="8"/>
      <c r="F11" s="8">
        <v>100</v>
      </c>
      <c r="G11" s="8" t="s">
        <v>103</v>
      </c>
      <c r="H11" s="2"/>
      <c r="I11" s="2"/>
      <c r="J11" s="2"/>
      <c r="K11" s="2"/>
      <c r="L11" s="2"/>
      <c r="M11" s="2"/>
      <c r="O11" s="8"/>
      <c r="P11" s="8">
        <v>6</v>
      </c>
      <c r="Q11" s="8"/>
      <c r="R11" s="2"/>
      <c r="S11" s="2"/>
    </row>
    <row r="12" spans="1:22" ht="18" x14ac:dyDescent="0.25">
      <c r="A12" s="8">
        <v>7</v>
      </c>
      <c r="B12" s="8">
        <v>7</v>
      </c>
      <c r="C12" s="51">
        <v>45994</v>
      </c>
      <c r="D12" s="55">
        <v>100</v>
      </c>
      <c r="E12" s="8"/>
      <c r="F12" s="8">
        <v>100</v>
      </c>
      <c r="G12" s="8" t="s">
        <v>104</v>
      </c>
      <c r="H12" s="2"/>
      <c r="I12" s="2"/>
      <c r="J12" s="2"/>
      <c r="K12" s="2"/>
      <c r="L12" s="2"/>
      <c r="M12" s="2"/>
      <c r="P12" s="31" t="s">
        <v>78</v>
      </c>
      <c r="Q12" s="35">
        <f>SUM(Q6:Q11)</f>
        <v>0</v>
      </c>
      <c r="R12" s="108"/>
      <c r="S12" s="109"/>
      <c r="T12" s="109"/>
      <c r="U12" s="110"/>
    </row>
    <row r="13" spans="1:22" ht="18" x14ac:dyDescent="0.25">
      <c r="A13" s="8">
        <v>8</v>
      </c>
      <c r="B13" s="8">
        <v>8</v>
      </c>
      <c r="C13" s="51">
        <v>45994</v>
      </c>
      <c r="D13" s="55">
        <v>100</v>
      </c>
      <c r="E13" s="8"/>
      <c r="F13" s="8">
        <v>100</v>
      </c>
      <c r="G13" s="8" t="s">
        <v>105</v>
      </c>
      <c r="H13" s="2"/>
      <c r="I13" s="2"/>
      <c r="J13" s="2"/>
      <c r="K13" s="2"/>
      <c r="L13" s="2"/>
      <c r="M13" s="2"/>
      <c r="O13" s="2"/>
      <c r="P13" s="38"/>
      <c r="Q13" s="38"/>
      <c r="R13" s="2"/>
      <c r="S13" s="39"/>
    </row>
    <row r="14" spans="1:22" ht="18" x14ac:dyDescent="0.25">
      <c r="A14" s="8">
        <v>9</v>
      </c>
      <c r="B14" s="8">
        <v>9</v>
      </c>
      <c r="C14" s="51">
        <v>45994</v>
      </c>
      <c r="D14" s="55">
        <v>100</v>
      </c>
      <c r="E14" s="8"/>
      <c r="F14" s="8">
        <v>100</v>
      </c>
      <c r="G14" s="8" t="s">
        <v>106</v>
      </c>
      <c r="H14" s="2"/>
      <c r="I14" s="2"/>
      <c r="J14" s="2"/>
      <c r="K14" s="2"/>
      <c r="L14" s="2"/>
      <c r="M14" s="2"/>
      <c r="P14" s="40" t="s">
        <v>98</v>
      </c>
      <c r="Q14" s="41">
        <f>Q12-Q13</f>
        <v>0</v>
      </c>
      <c r="R14" s="42"/>
      <c r="S14" s="43"/>
      <c r="T14" s="43"/>
      <c r="U14" s="44"/>
    </row>
    <row r="15" spans="1:22" ht="18" x14ac:dyDescent="0.25">
      <c r="A15" s="8">
        <v>10</v>
      </c>
      <c r="B15" s="8">
        <v>10</v>
      </c>
      <c r="C15" s="51">
        <v>45994</v>
      </c>
      <c r="D15" s="55">
        <v>100</v>
      </c>
      <c r="E15" s="8"/>
      <c r="F15" s="8">
        <v>100</v>
      </c>
      <c r="G15" s="8" t="s">
        <v>107</v>
      </c>
      <c r="H15" s="2"/>
      <c r="I15" s="2"/>
      <c r="J15" s="2"/>
      <c r="K15" s="2"/>
      <c r="L15" s="2"/>
      <c r="M15" s="2"/>
      <c r="O15" s="32"/>
      <c r="P15" s="34"/>
      <c r="Q15" s="33"/>
      <c r="R15" s="2"/>
      <c r="S15" s="2"/>
    </row>
    <row r="16" spans="1:22" ht="18" x14ac:dyDescent="0.25">
      <c r="A16" s="8">
        <v>11</v>
      </c>
      <c r="B16" s="8">
        <v>11</v>
      </c>
      <c r="C16" s="51">
        <v>45994</v>
      </c>
      <c r="D16" s="55">
        <v>100</v>
      </c>
      <c r="E16" s="8"/>
      <c r="F16" s="8">
        <v>100</v>
      </c>
      <c r="G16" s="8" t="s">
        <v>108</v>
      </c>
      <c r="H16" s="2"/>
      <c r="I16" s="2"/>
      <c r="J16" s="2"/>
      <c r="K16" s="2"/>
      <c r="L16" s="2"/>
      <c r="M16" s="2"/>
    </row>
    <row r="17" spans="1:13" ht="18" x14ac:dyDescent="0.25">
      <c r="A17" s="8">
        <v>12</v>
      </c>
      <c r="B17" s="8">
        <v>12</v>
      </c>
      <c r="C17" s="51">
        <v>45994</v>
      </c>
      <c r="D17" s="55">
        <v>100</v>
      </c>
      <c r="E17" s="8"/>
      <c r="F17" s="8">
        <v>100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C16" sqref="C16:C17"/>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2400</v>
      </c>
      <c r="E4" s="11"/>
      <c r="F4" s="83">
        <f>SUM(F6:F2001)</f>
        <v>2400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200</v>
      </c>
      <c r="E6" s="8"/>
      <c r="F6" s="33">
        <v>200</v>
      </c>
      <c r="G6" s="8" t="s">
        <v>220</v>
      </c>
      <c r="H6" s="2"/>
      <c r="I6" s="2"/>
      <c r="J6" s="2"/>
      <c r="K6" s="2"/>
      <c r="L6" s="2"/>
      <c r="M6" s="2"/>
    </row>
    <row r="7" spans="1:17" ht="18" x14ac:dyDescent="0.25">
      <c r="A7" s="8">
        <v>2</v>
      </c>
      <c r="B7" s="8">
        <v>2</v>
      </c>
      <c r="C7" s="77">
        <v>45715</v>
      </c>
      <c r="D7" s="33">
        <v>200</v>
      </c>
      <c r="E7" s="8"/>
      <c r="F7" s="33">
        <v>200</v>
      </c>
      <c r="G7" s="8" t="s">
        <v>221</v>
      </c>
      <c r="H7" s="2"/>
      <c r="I7" s="2"/>
      <c r="J7" s="2"/>
      <c r="K7" s="2"/>
      <c r="L7" s="2"/>
      <c r="M7" s="2"/>
    </row>
    <row r="8" spans="1:17" ht="18" x14ac:dyDescent="0.25">
      <c r="A8" s="8">
        <v>3</v>
      </c>
      <c r="B8" s="8">
        <v>3</v>
      </c>
      <c r="C8" s="77">
        <v>45760</v>
      </c>
      <c r="D8" s="33">
        <v>200</v>
      </c>
      <c r="E8" s="8"/>
      <c r="F8" s="33">
        <v>200</v>
      </c>
      <c r="G8" s="8" t="s">
        <v>222</v>
      </c>
      <c r="H8" s="2"/>
      <c r="I8" s="2"/>
      <c r="J8" s="2"/>
      <c r="K8" s="2"/>
      <c r="L8" s="2"/>
      <c r="M8" s="2"/>
    </row>
    <row r="9" spans="1:17" ht="18" x14ac:dyDescent="0.25">
      <c r="A9" s="8">
        <v>4</v>
      </c>
      <c r="B9" s="8">
        <v>4</v>
      </c>
      <c r="C9" s="77">
        <v>45787</v>
      </c>
      <c r="D9" s="33">
        <v>200</v>
      </c>
      <c r="E9" s="8"/>
      <c r="F9" s="33">
        <v>200</v>
      </c>
      <c r="G9" s="8" t="s">
        <v>223</v>
      </c>
      <c r="H9" s="2"/>
      <c r="I9" s="2"/>
      <c r="J9" s="2"/>
      <c r="K9" s="2"/>
      <c r="L9" s="2"/>
      <c r="M9" s="2"/>
    </row>
    <row r="10" spans="1:17" ht="18" x14ac:dyDescent="0.25">
      <c r="A10" s="8">
        <v>5</v>
      </c>
      <c r="B10" s="8">
        <v>5</v>
      </c>
      <c r="C10" s="77">
        <v>45787</v>
      </c>
      <c r="D10" s="33">
        <v>200</v>
      </c>
      <c r="E10" s="8"/>
      <c r="F10" s="33">
        <v>200</v>
      </c>
      <c r="G10" s="8" t="s">
        <v>224</v>
      </c>
      <c r="H10" s="2"/>
      <c r="I10" s="2"/>
      <c r="J10" s="2"/>
      <c r="K10" s="2"/>
      <c r="L10" s="2"/>
      <c r="M10" s="2"/>
    </row>
    <row r="11" spans="1:17" ht="18" x14ac:dyDescent="0.25">
      <c r="A11" s="8">
        <v>6</v>
      </c>
      <c r="B11" s="8">
        <v>6</v>
      </c>
      <c r="C11" s="77">
        <v>45867</v>
      </c>
      <c r="D11" s="33">
        <v>200</v>
      </c>
      <c r="E11" s="8"/>
      <c r="F11" s="33">
        <v>200</v>
      </c>
      <c r="G11" s="8" t="s">
        <v>225</v>
      </c>
      <c r="H11" s="2"/>
      <c r="I11" s="2"/>
      <c r="J11" s="2"/>
      <c r="K11" s="2"/>
      <c r="L11" s="2"/>
      <c r="M11" s="2"/>
    </row>
    <row r="12" spans="1:17" ht="18" x14ac:dyDescent="0.25">
      <c r="A12" s="8">
        <v>7</v>
      </c>
      <c r="B12" s="8">
        <v>7</v>
      </c>
      <c r="C12" s="77">
        <v>45867</v>
      </c>
      <c r="D12" s="33">
        <v>200</v>
      </c>
      <c r="E12" s="8"/>
      <c r="F12" s="33">
        <v>200</v>
      </c>
      <c r="G12" s="8" t="s">
        <v>226</v>
      </c>
      <c r="H12" s="2"/>
      <c r="I12" s="2"/>
      <c r="J12" s="2"/>
      <c r="K12" s="2"/>
      <c r="L12" s="2"/>
      <c r="M12" s="2"/>
    </row>
    <row r="13" spans="1:17" ht="18" x14ac:dyDescent="0.25">
      <c r="A13" s="8">
        <v>8</v>
      </c>
      <c r="B13" s="8">
        <v>8</v>
      </c>
      <c r="C13" s="77">
        <v>45989</v>
      </c>
      <c r="D13" s="33">
        <v>200</v>
      </c>
      <c r="E13" s="8"/>
      <c r="F13" s="33">
        <v>200</v>
      </c>
      <c r="G13" s="8" t="s">
        <v>105</v>
      </c>
      <c r="H13" s="2"/>
      <c r="I13" s="2"/>
      <c r="J13" s="2"/>
      <c r="K13" s="2"/>
      <c r="L13" s="2"/>
      <c r="M13" s="2"/>
    </row>
    <row r="14" spans="1:17" ht="18" x14ac:dyDescent="0.25">
      <c r="A14" s="8">
        <v>9</v>
      </c>
      <c r="B14" s="8">
        <v>9</v>
      </c>
      <c r="C14" s="77">
        <v>45989</v>
      </c>
      <c r="D14" s="33">
        <v>200</v>
      </c>
      <c r="E14" s="8"/>
      <c r="F14" s="33">
        <v>200</v>
      </c>
      <c r="G14" s="8" t="s">
        <v>106</v>
      </c>
      <c r="H14" s="2"/>
      <c r="I14" s="2"/>
      <c r="J14" s="2"/>
      <c r="K14" s="2"/>
      <c r="L14" s="2"/>
      <c r="M14" s="2"/>
    </row>
    <row r="15" spans="1:17" ht="18" x14ac:dyDescent="0.25">
      <c r="A15" s="8">
        <v>10</v>
      </c>
      <c r="B15" s="8">
        <v>10</v>
      </c>
      <c r="C15" s="77">
        <v>45992</v>
      </c>
      <c r="D15" s="33">
        <v>200</v>
      </c>
      <c r="E15" s="8"/>
      <c r="F15" s="33">
        <v>200</v>
      </c>
      <c r="G15" s="8" t="s">
        <v>107</v>
      </c>
      <c r="H15" s="2"/>
      <c r="I15" s="2"/>
      <c r="J15" s="2"/>
      <c r="K15" s="2"/>
      <c r="L15" s="2"/>
      <c r="M15" s="2"/>
    </row>
    <row r="16" spans="1:17" ht="18" x14ac:dyDescent="0.25">
      <c r="A16" s="8">
        <v>11</v>
      </c>
      <c r="B16" s="8">
        <v>11</v>
      </c>
      <c r="C16" s="77">
        <v>45992</v>
      </c>
      <c r="D16" s="33">
        <v>200</v>
      </c>
      <c r="E16" s="8"/>
      <c r="F16" s="33">
        <v>200</v>
      </c>
      <c r="G16" s="8" t="s">
        <v>227</v>
      </c>
      <c r="H16" s="2"/>
      <c r="I16" s="2"/>
      <c r="J16" s="2"/>
      <c r="K16" s="2"/>
      <c r="L16" s="2"/>
      <c r="M16" s="2"/>
    </row>
    <row r="17" spans="1:13" ht="18" x14ac:dyDescent="0.25">
      <c r="A17" s="8">
        <v>12</v>
      </c>
      <c r="B17" s="8">
        <v>12</v>
      </c>
      <c r="C17" s="77">
        <v>45992</v>
      </c>
      <c r="D17" s="33">
        <v>200</v>
      </c>
      <c r="E17" s="8"/>
      <c r="F17" s="33">
        <v>200</v>
      </c>
      <c r="G17" s="8" t="s">
        <v>228</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C17" sqref="C17"/>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2400</v>
      </c>
      <c r="E4" s="11"/>
      <c r="F4" s="83">
        <f>SUM(F6:F2001)</f>
        <v>2400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200</v>
      </c>
      <c r="E6" s="8"/>
      <c r="F6" s="33">
        <v>200</v>
      </c>
      <c r="G6" s="8" t="s">
        <v>165</v>
      </c>
      <c r="H6" s="2"/>
      <c r="I6" s="2"/>
      <c r="J6" s="2"/>
      <c r="K6" s="2"/>
      <c r="L6" s="2"/>
      <c r="M6" s="2"/>
    </row>
    <row r="7" spans="1:17" ht="18" x14ac:dyDescent="0.25">
      <c r="A7" s="8">
        <v>2</v>
      </c>
      <c r="B7" s="33">
        <v>2</v>
      </c>
      <c r="C7" s="51">
        <v>45322</v>
      </c>
      <c r="D7" s="33">
        <v>200</v>
      </c>
      <c r="E7" s="8"/>
      <c r="F7" s="33">
        <v>200</v>
      </c>
      <c r="G7" s="8" t="s">
        <v>166</v>
      </c>
      <c r="H7" s="2"/>
      <c r="I7" s="2"/>
      <c r="J7" s="2"/>
      <c r="K7" s="2"/>
      <c r="L7" s="2"/>
      <c r="M7" s="2"/>
    </row>
    <row r="8" spans="1:17" ht="18" x14ac:dyDescent="0.25">
      <c r="A8" s="8">
        <v>3</v>
      </c>
      <c r="B8" s="33">
        <v>3</v>
      </c>
      <c r="C8" s="51">
        <v>45719</v>
      </c>
      <c r="D8" s="33">
        <v>200</v>
      </c>
      <c r="E8" s="8"/>
      <c r="F8" s="33">
        <v>200</v>
      </c>
      <c r="G8" s="8" t="s">
        <v>167</v>
      </c>
      <c r="H8" s="2"/>
      <c r="I8" s="2"/>
      <c r="J8" s="2"/>
      <c r="K8" s="2"/>
      <c r="L8" s="2"/>
      <c r="M8" s="2"/>
    </row>
    <row r="9" spans="1:17" ht="18" x14ac:dyDescent="0.25">
      <c r="A9" s="8">
        <v>4</v>
      </c>
      <c r="B9" s="33">
        <v>4</v>
      </c>
      <c r="C9" s="51">
        <v>45384</v>
      </c>
      <c r="D9" s="33">
        <v>200</v>
      </c>
      <c r="E9" s="8"/>
      <c r="F9" s="33">
        <v>200</v>
      </c>
      <c r="G9" s="8" t="s">
        <v>168</v>
      </c>
      <c r="H9" s="2"/>
      <c r="I9" s="2"/>
      <c r="J9" s="2"/>
      <c r="K9" s="2"/>
      <c r="L9" s="2"/>
      <c r="M9" s="2"/>
    </row>
    <row r="10" spans="1:17" ht="18" x14ac:dyDescent="0.25">
      <c r="A10" s="8">
        <v>5</v>
      </c>
      <c r="B10" s="33">
        <v>5</v>
      </c>
      <c r="C10" s="51">
        <v>45413</v>
      </c>
      <c r="D10" s="33">
        <v>200</v>
      </c>
      <c r="E10" s="8"/>
      <c r="F10" s="33">
        <v>200</v>
      </c>
      <c r="G10" s="8" t="s">
        <v>169</v>
      </c>
      <c r="H10" s="2"/>
      <c r="I10" s="2"/>
      <c r="J10" s="2"/>
      <c r="K10" s="2"/>
      <c r="L10" s="2"/>
      <c r="M10" s="2"/>
    </row>
    <row r="11" spans="1:17" ht="18" x14ac:dyDescent="0.25">
      <c r="A11" s="8">
        <v>6</v>
      </c>
      <c r="B11" s="33">
        <v>6</v>
      </c>
      <c r="C11" s="51">
        <v>45444</v>
      </c>
      <c r="D11" s="33">
        <v>200</v>
      </c>
      <c r="E11" s="8"/>
      <c r="F11" s="33">
        <v>200</v>
      </c>
      <c r="G11" s="8" t="s">
        <v>170</v>
      </c>
      <c r="H11" s="2"/>
      <c r="I11" s="2"/>
      <c r="J11" s="2"/>
      <c r="K11" s="2"/>
      <c r="L11" s="2"/>
      <c r="M11" s="2"/>
    </row>
    <row r="12" spans="1:17" ht="18" x14ac:dyDescent="0.25">
      <c r="A12" s="8">
        <v>7</v>
      </c>
      <c r="B12" s="33">
        <v>7</v>
      </c>
      <c r="C12" s="51">
        <v>45474</v>
      </c>
      <c r="D12" s="33">
        <v>200</v>
      </c>
      <c r="E12" s="8"/>
      <c r="F12" s="33">
        <v>200</v>
      </c>
      <c r="G12" s="8" t="s">
        <v>171</v>
      </c>
      <c r="H12" s="2"/>
      <c r="I12" s="2"/>
      <c r="J12" s="2"/>
      <c r="K12" s="2"/>
      <c r="L12" s="2"/>
      <c r="M12" s="2"/>
    </row>
    <row r="13" spans="1:17" ht="18" x14ac:dyDescent="0.25">
      <c r="A13" s="8">
        <v>8</v>
      </c>
      <c r="B13" s="33">
        <v>8</v>
      </c>
      <c r="C13" s="51">
        <v>45882</v>
      </c>
      <c r="D13" s="33">
        <v>200</v>
      </c>
      <c r="E13" s="8"/>
      <c r="F13" s="33">
        <v>200</v>
      </c>
      <c r="G13" s="8" t="s">
        <v>172</v>
      </c>
      <c r="H13" s="2"/>
      <c r="I13" s="2"/>
      <c r="J13" s="2"/>
      <c r="K13" s="2"/>
      <c r="L13" s="2"/>
      <c r="M13" s="2"/>
    </row>
    <row r="14" spans="1:17" ht="18" x14ac:dyDescent="0.25">
      <c r="A14" s="8">
        <v>9</v>
      </c>
      <c r="B14" s="33">
        <v>9</v>
      </c>
      <c r="C14" s="63">
        <v>45902</v>
      </c>
      <c r="D14" s="33">
        <v>200</v>
      </c>
      <c r="E14" s="8"/>
      <c r="F14" s="33">
        <v>200</v>
      </c>
      <c r="G14" s="8" t="s">
        <v>173</v>
      </c>
      <c r="H14" s="2"/>
      <c r="I14" s="2"/>
      <c r="J14" s="2"/>
      <c r="K14" s="2"/>
      <c r="L14" s="2"/>
      <c r="M14" s="2"/>
    </row>
    <row r="15" spans="1:17" ht="18" x14ac:dyDescent="0.25">
      <c r="A15" s="8">
        <v>10</v>
      </c>
      <c r="B15" s="33">
        <v>10</v>
      </c>
      <c r="C15" s="51">
        <v>45567</v>
      </c>
      <c r="D15" s="33">
        <v>200</v>
      </c>
      <c r="E15" s="8"/>
      <c r="F15" s="33">
        <v>200</v>
      </c>
      <c r="G15" s="8" t="s">
        <v>174</v>
      </c>
      <c r="H15" s="2"/>
      <c r="I15" s="2"/>
      <c r="J15" s="2"/>
      <c r="K15" s="2"/>
      <c r="L15" s="2"/>
      <c r="M15" s="2"/>
    </row>
    <row r="16" spans="1:17" ht="18" x14ac:dyDescent="0.25">
      <c r="A16" s="8">
        <v>11</v>
      </c>
      <c r="B16" s="33">
        <v>11</v>
      </c>
      <c r="C16" s="51">
        <v>45597</v>
      </c>
      <c r="D16" s="33">
        <v>200</v>
      </c>
      <c r="E16" s="8"/>
      <c r="F16" s="33">
        <v>200</v>
      </c>
      <c r="G16" s="8" t="s">
        <v>175</v>
      </c>
      <c r="H16" s="2"/>
      <c r="I16" s="2"/>
      <c r="J16" s="2"/>
      <c r="K16" s="2"/>
      <c r="L16" s="2"/>
      <c r="M16" s="2"/>
    </row>
    <row r="17" spans="1:13" ht="18" x14ac:dyDescent="0.25">
      <c r="A17" s="8">
        <v>12</v>
      </c>
      <c r="B17" s="33">
        <v>12</v>
      </c>
      <c r="C17" s="51">
        <v>45993</v>
      </c>
      <c r="D17" s="33">
        <v>200</v>
      </c>
      <c r="E17" s="8"/>
      <c r="F17" s="33">
        <v>200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K17" sqref="K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2400</v>
      </c>
      <c r="E4" s="11"/>
      <c r="F4" s="11">
        <f>SUM(F6:F2001)</f>
        <v>2400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45777</v>
      </c>
      <c r="D6" s="8">
        <v>200</v>
      </c>
      <c r="E6" s="8"/>
      <c r="F6" s="8">
        <v>200</v>
      </c>
      <c r="G6" s="8" t="s">
        <v>236</v>
      </c>
      <c r="H6" s="2"/>
      <c r="I6" s="2"/>
      <c r="J6" s="2"/>
      <c r="K6" s="2"/>
      <c r="L6" s="2"/>
      <c r="M6" s="2"/>
    </row>
    <row r="7" spans="1:17" ht="18" x14ac:dyDescent="0.25">
      <c r="A7" s="8">
        <v>2</v>
      </c>
      <c r="B7" s="8">
        <v>2</v>
      </c>
      <c r="C7" s="9">
        <v>45777</v>
      </c>
      <c r="D7" s="8">
        <v>200</v>
      </c>
      <c r="E7" s="8"/>
      <c r="F7" s="8">
        <v>200</v>
      </c>
      <c r="G7" s="8" t="s">
        <v>237</v>
      </c>
      <c r="H7" s="2"/>
      <c r="I7" s="2"/>
      <c r="J7" s="2"/>
      <c r="K7" s="2"/>
      <c r="L7" s="2"/>
      <c r="M7" s="2"/>
    </row>
    <row r="8" spans="1:17" ht="18" x14ac:dyDescent="0.25">
      <c r="A8" s="8">
        <v>3</v>
      </c>
      <c r="B8" s="8">
        <v>3</v>
      </c>
      <c r="C8" s="9">
        <v>45777</v>
      </c>
      <c r="D8" s="8">
        <v>200</v>
      </c>
      <c r="E8" s="8"/>
      <c r="F8" s="8">
        <v>200</v>
      </c>
      <c r="G8" s="8" t="s">
        <v>100</v>
      </c>
      <c r="H8" s="2"/>
      <c r="I8" s="2"/>
      <c r="J8" s="2"/>
      <c r="K8" s="2"/>
      <c r="L8" s="2"/>
      <c r="M8" s="2"/>
    </row>
    <row r="9" spans="1:17" ht="18" x14ac:dyDescent="0.25">
      <c r="A9" s="8">
        <v>4</v>
      </c>
      <c r="B9" s="8">
        <v>4</v>
      </c>
      <c r="C9" s="9">
        <v>45777</v>
      </c>
      <c r="D9" s="8">
        <v>200</v>
      </c>
      <c r="E9" s="8"/>
      <c r="F9" s="8">
        <v>200</v>
      </c>
      <c r="G9" s="8" t="s">
        <v>101</v>
      </c>
      <c r="H9" s="2"/>
      <c r="I9" s="2"/>
      <c r="J9" s="2"/>
      <c r="K9" s="2"/>
      <c r="L9" s="2"/>
      <c r="M9" s="2"/>
    </row>
    <row r="10" spans="1:17" ht="18" x14ac:dyDescent="0.25">
      <c r="A10" s="8">
        <v>5</v>
      </c>
      <c r="B10" s="8">
        <v>5</v>
      </c>
      <c r="C10" s="9">
        <v>45777</v>
      </c>
      <c r="D10" s="8">
        <v>200</v>
      </c>
      <c r="E10" s="8"/>
      <c r="F10" s="8">
        <v>200</v>
      </c>
      <c r="G10" s="8" t="s">
        <v>102</v>
      </c>
      <c r="H10" s="2"/>
      <c r="I10" s="2"/>
      <c r="J10" s="2"/>
      <c r="K10" s="2"/>
      <c r="L10" s="2"/>
      <c r="M10" s="2"/>
    </row>
    <row r="11" spans="1:17" ht="18" x14ac:dyDescent="0.25">
      <c r="A11" s="8">
        <v>6</v>
      </c>
      <c r="B11" s="8">
        <v>6</v>
      </c>
      <c r="C11" s="9">
        <v>45777</v>
      </c>
      <c r="D11" s="8">
        <v>200</v>
      </c>
      <c r="E11" s="8"/>
      <c r="F11" s="8">
        <v>200</v>
      </c>
      <c r="G11" s="8" t="s">
        <v>103</v>
      </c>
      <c r="H11" s="2"/>
      <c r="I11" s="2"/>
      <c r="J11" s="2"/>
      <c r="K11" s="2"/>
      <c r="L11" s="2"/>
      <c r="M11" s="2"/>
    </row>
    <row r="12" spans="1:17" ht="18" x14ac:dyDescent="0.25">
      <c r="A12" s="8">
        <v>7</v>
      </c>
      <c r="B12" s="8">
        <v>7</v>
      </c>
      <c r="C12" s="9">
        <v>45777</v>
      </c>
      <c r="D12" s="8">
        <v>200</v>
      </c>
      <c r="E12" s="8"/>
      <c r="F12" s="8">
        <v>200</v>
      </c>
      <c r="G12" s="8" t="s">
        <v>104</v>
      </c>
      <c r="H12" s="2"/>
      <c r="I12" s="2"/>
      <c r="J12" s="2"/>
      <c r="K12" s="2"/>
      <c r="L12" s="2"/>
      <c r="M12" s="2"/>
    </row>
    <row r="13" spans="1:17" ht="18" x14ac:dyDescent="0.25">
      <c r="A13" s="8">
        <v>8</v>
      </c>
      <c r="B13" s="8">
        <v>8</v>
      </c>
      <c r="C13" s="9">
        <v>45777</v>
      </c>
      <c r="D13" s="8">
        <v>200</v>
      </c>
      <c r="E13" s="8"/>
      <c r="F13" s="8">
        <v>200</v>
      </c>
      <c r="G13" s="8" t="s">
        <v>105</v>
      </c>
      <c r="H13" s="2"/>
      <c r="I13" s="2"/>
      <c r="J13" s="2"/>
      <c r="K13" s="2"/>
      <c r="L13" s="2"/>
      <c r="M13" s="2"/>
    </row>
    <row r="14" spans="1:17" ht="18" x14ac:dyDescent="0.25">
      <c r="A14" s="8">
        <v>9</v>
      </c>
      <c r="B14" s="8">
        <v>9</v>
      </c>
      <c r="C14" s="9">
        <v>45777</v>
      </c>
      <c r="D14" s="8">
        <v>200</v>
      </c>
      <c r="E14" s="8"/>
      <c r="F14" s="8">
        <v>200</v>
      </c>
      <c r="G14" s="8" t="s">
        <v>106</v>
      </c>
      <c r="H14" s="2"/>
      <c r="I14" s="2"/>
      <c r="J14" s="2"/>
      <c r="K14" s="2"/>
      <c r="L14" s="2"/>
      <c r="M14" s="2"/>
    </row>
    <row r="15" spans="1:17" ht="18" x14ac:dyDescent="0.25">
      <c r="A15" s="8">
        <v>10</v>
      </c>
      <c r="B15" s="8">
        <v>10</v>
      </c>
      <c r="C15" s="9">
        <v>45777</v>
      </c>
      <c r="D15" s="8">
        <v>200</v>
      </c>
      <c r="E15" s="8"/>
      <c r="F15" s="8">
        <v>200</v>
      </c>
      <c r="G15" s="8" t="s">
        <v>107</v>
      </c>
      <c r="H15" s="2"/>
      <c r="I15" s="2"/>
      <c r="J15" s="2"/>
      <c r="K15" s="2"/>
      <c r="L15" s="2"/>
      <c r="M15" s="2"/>
    </row>
    <row r="16" spans="1:17" ht="18" x14ac:dyDescent="0.25">
      <c r="A16" s="8">
        <v>11</v>
      </c>
      <c r="B16" s="8">
        <v>11</v>
      </c>
      <c r="C16" s="9">
        <v>45777</v>
      </c>
      <c r="D16" s="8">
        <v>200</v>
      </c>
      <c r="E16" s="8"/>
      <c r="F16" s="8">
        <v>200</v>
      </c>
      <c r="G16" s="8" t="s">
        <v>108</v>
      </c>
      <c r="H16" s="2"/>
      <c r="I16" s="2"/>
      <c r="J16" s="2"/>
      <c r="K16" s="2"/>
      <c r="L16" s="2"/>
      <c r="M16" s="2"/>
    </row>
    <row r="17" spans="1:13" ht="18" x14ac:dyDescent="0.25">
      <c r="A17" s="8">
        <v>12</v>
      </c>
      <c r="B17" s="8">
        <v>12</v>
      </c>
      <c r="C17" s="9">
        <v>45777</v>
      </c>
      <c r="D17" s="8">
        <v>200</v>
      </c>
      <c r="E17" s="8"/>
      <c r="F17" s="8">
        <v>200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4" workbookViewId="0">
      <selection activeCell="G6" sqref="G6:G17"/>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2400</v>
      </c>
      <c r="E4" s="11"/>
      <c r="F4" s="11">
        <f>SUM(F6:F2001)</f>
        <v>2400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45970</v>
      </c>
      <c r="D6" s="81">
        <v>200</v>
      </c>
      <c r="E6" s="8"/>
      <c r="F6" s="8">
        <v>200</v>
      </c>
      <c r="G6" s="8" t="s">
        <v>236</v>
      </c>
      <c r="H6" s="2"/>
      <c r="I6" s="2"/>
      <c r="J6" s="2"/>
      <c r="K6" s="2"/>
      <c r="L6" s="2"/>
      <c r="M6" s="2"/>
    </row>
    <row r="7" spans="1:17" ht="18" x14ac:dyDescent="0.25">
      <c r="A7" s="8">
        <v>2</v>
      </c>
      <c r="B7" s="8"/>
      <c r="C7" s="77">
        <v>45970</v>
      </c>
      <c r="D7" s="81">
        <v>200</v>
      </c>
      <c r="E7" s="8"/>
      <c r="F7" s="8">
        <v>200</v>
      </c>
      <c r="G7" s="8" t="s">
        <v>237</v>
      </c>
      <c r="H7" s="2"/>
      <c r="I7" s="2"/>
      <c r="J7" s="2"/>
      <c r="K7" s="2"/>
      <c r="L7" s="2"/>
      <c r="M7" s="2"/>
    </row>
    <row r="8" spans="1:17" ht="18" x14ac:dyDescent="0.25">
      <c r="A8" s="8">
        <v>3</v>
      </c>
      <c r="B8" s="8"/>
      <c r="C8" s="77">
        <v>45970</v>
      </c>
      <c r="D8" s="81">
        <v>200</v>
      </c>
      <c r="E8" s="8"/>
      <c r="F8" s="8">
        <v>200</v>
      </c>
      <c r="G8" s="8" t="s">
        <v>100</v>
      </c>
      <c r="H8" s="2"/>
      <c r="I8" s="2"/>
      <c r="J8" s="2"/>
      <c r="K8" s="2"/>
      <c r="L8" s="2"/>
      <c r="M8" s="2"/>
    </row>
    <row r="9" spans="1:17" ht="18" x14ac:dyDescent="0.25">
      <c r="A9" s="8">
        <v>4</v>
      </c>
      <c r="B9" s="8"/>
      <c r="C9" s="77">
        <v>45970</v>
      </c>
      <c r="D9" s="81">
        <v>200</v>
      </c>
      <c r="E9" s="8"/>
      <c r="F9" s="8">
        <v>200</v>
      </c>
      <c r="G9" s="8" t="s">
        <v>101</v>
      </c>
      <c r="H9" s="2"/>
      <c r="I9" s="2"/>
      <c r="J9" s="2"/>
      <c r="K9" s="2"/>
      <c r="L9" s="2"/>
      <c r="M9" s="2"/>
    </row>
    <row r="10" spans="1:17" ht="18" x14ac:dyDescent="0.25">
      <c r="A10" s="8">
        <v>5</v>
      </c>
      <c r="B10" s="8"/>
      <c r="C10" s="77">
        <v>45970</v>
      </c>
      <c r="D10" s="81">
        <v>200</v>
      </c>
      <c r="E10" s="8"/>
      <c r="F10" s="8">
        <v>200</v>
      </c>
      <c r="G10" s="8" t="s">
        <v>102</v>
      </c>
      <c r="H10" s="2"/>
      <c r="I10" s="2"/>
      <c r="J10" s="2"/>
      <c r="K10" s="2"/>
      <c r="L10" s="2"/>
      <c r="M10" s="2"/>
    </row>
    <row r="11" spans="1:17" ht="18" x14ac:dyDescent="0.25">
      <c r="A11" s="8">
        <v>6</v>
      </c>
      <c r="B11" s="8"/>
      <c r="C11" s="77">
        <v>45970</v>
      </c>
      <c r="D11" s="81">
        <v>200</v>
      </c>
      <c r="E11" s="8"/>
      <c r="F11" s="8">
        <v>200</v>
      </c>
      <c r="G11" s="8" t="s">
        <v>103</v>
      </c>
      <c r="H11" s="2"/>
      <c r="I11" s="2"/>
      <c r="J11" s="2"/>
      <c r="K11" s="2"/>
      <c r="L11" s="2"/>
      <c r="M11" s="2"/>
    </row>
    <row r="12" spans="1:17" ht="18" x14ac:dyDescent="0.25">
      <c r="A12" s="8">
        <v>7</v>
      </c>
      <c r="B12" s="8"/>
      <c r="C12" s="77">
        <v>45970</v>
      </c>
      <c r="D12" s="81">
        <v>200</v>
      </c>
      <c r="E12" s="8"/>
      <c r="F12" s="8">
        <v>200</v>
      </c>
      <c r="G12" s="8" t="s">
        <v>104</v>
      </c>
      <c r="H12" s="2"/>
      <c r="I12" s="2"/>
      <c r="J12" s="2"/>
      <c r="K12" s="2"/>
      <c r="L12" s="2"/>
      <c r="M12" s="2"/>
    </row>
    <row r="13" spans="1:17" ht="18" x14ac:dyDescent="0.25">
      <c r="A13" s="8">
        <v>8</v>
      </c>
      <c r="B13" s="8"/>
      <c r="C13" s="77">
        <v>45970</v>
      </c>
      <c r="D13" s="81">
        <v>200</v>
      </c>
      <c r="E13" s="8"/>
      <c r="F13" s="8">
        <v>200</v>
      </c>
      <c r="G13" s="8" t="s">
        <v>105</v>
      </c>
      <c r="H13" s="2"/>
      <c r="I13" s="2"/>
      <c r="J13" s="2"/>
      <c r="K13" s="2"/>
      <c r="L13" s="2"/>
      <c r="M13" s="2"/>
    </row>
    <row r="14" spans="1:17" ht="18" x14ac:dyDescent="0.25">
      <c r="A14" s="8">
        <v>9</v>
      </c>
      <c r="B14" s="8"/>
      <c r="C14" s="77">
        <v>45970</v>
      </c>
      <c r="D14" s="81">
        <v>200</v>
      </c>
      <c r="E14" s="8"/>
      <c r="F14" s="8">
        <v>200</v>
      </c>
      <c r="G14" s="8" t="s">
        <v>106</v>
      </c>
      <c r="H14" s="2"/>
      <c r="I14" s="2"/>
      <c r="J14" s="2"/>
      <c r="K14" s="2"/>
      <c r="L14" s="2"/>
      <c r="M14" s="2"/>
    </row>
    <row r="15" spans="1:17" ht="18" x14ac:dyDescent="0.25">
      <c r="A15" s="8">
        <v>10</v>
      </c>
      <c r="B15" s="8"/>
      <c r="C15" s="77">
        <v>45970</v>
      </c>
      <c r="D15" s="81">
        <v>200</v>
      </c>
      <c r="E15" s="8"/>
      <c r="F15" s="8">
        <v>200</v>
      </c>
      <c r="G15" s="8" t="s">
        <v>107</v>
      </c>
      <c r="H15" s="2"/>
      <c r="I15" s="2"/>
      <c r="J15" s="2"/>
      <c r="K15" s="2"/>
      <c r="L15" s="2"/>
      <c r="M15" s="2"/>
    </row>
    <row r="16" spans="1:17" ht="18" x14ac:dyDescent="0.25">
      <c r="A16" s="8">
        <v>11</v>
      </c>
      <c r="B16" s="8"/>
      <c r="C16" s="77">
        <v>45970</v>
      </c>
      <c r="D16" s="81">
        <v>200</v>
      </c>
      <c r="E16" s="8"/>
      <c r="F16" s="8">
        <v>200</v>
      </c>
      <c r="G16" s="8" t="s">
        <v>108</v>
      </c>
      <c r="H16" s="2"/>
      <c r="I16" s="2"/>
      <c r="J16" s="2"/>
      <c r="K16" s="2"/>
      <c r="L16" s="2"/>
      <c r="M16" s="2"/>
    </row>
    <row r="17" spans="1:13" ht="18" x14ac:dyDescent="0.25">
      <c r="A17" s="8">
        <v>12</v>
      </c>
      <c r="B17" s="8"/>
      <c r="C17" s="77">
        <v>45970</v>
      </c>
      <c r="D17" s="81">
        <v>200</v>
      </c>
      <c r="E17" s="8"/>
      <c r="F17" s="8">
        <v>200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C18" sqref="C18"/>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1200</v>
      </c>
      <c r="E4" s="11"/>
      <c r="F4" s="11">
        <f>SUM(F6:F2001)</f>
        <v>1200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100</v>
      </c>
      <c r="E6" s="8"/>
      <c r="F6" s="8">
        <v>100</v>
      </c>
      <c r="G6" s="8" t="s">
        <v>110</v>
      </c>
      <c r="H6" s="2"/>
      <c r="I6" s="2"/>
      <c r="J6" s="2"/>
      <c r="K6" s="2"/>
      <c r="L6" s="2"/>
      <c r="M6" s="2"/>
    </row>
    <row r="7" spans="1:17" ht="18" x14ac:dyDescent="0.25">
      <c r="A7" s="8">
        <v>2</v>
      </c>
      <c r="B7" s="8">
        <v>2</v>
      </c>
      <c r="C7" s="9">
        <v>45322</v>
      </c>
      <c r="D7" s="8">
        <v>100</v>
      </c>
      <c r="E7" s="8"/>
      <c r="F7" s="8">
        <v>100</v>
      </c>
      <c r="G7" s="8" t="s">
        <v>111</v>
      </c>
      <c r="H7" s="2"/>
      <c r="I7" s="2"/>
      <c r="J7" s="2"/>
      <c r="K7" s="2"/>
      <c r="L7" s="2"/>
      <c r="M7" s="2"/>
    </row>
    <row r="8" spans="1:17" ht="18" x14ac:dyDescent="0.25">
      <c r="A8" s="8">
        <v>3</v>
      </c>
      <c r="B8" s="8">
        <v>3</v>
      </c>
      <c r="C8" s="63">
        <v>45719</v>
      </c>
      <c r="D8" s="8">
        <v>100</v>
      </c>
      <c r="E8" s="8"/>
      <c r="F8" s="8">
        <v>100</v>
      </c>
      <c r="G8" s="8" t="s">
        <v>155</v>
      </c>
      <c r="H8" s="2"/>
      <c r="I8" s="2"/>
      <c r="J8" s="2"/>
      <c r="K8" s="2"/>
      <c r="L8" s="2"/>
      <c r="M8" s="2"/>
    </row>
    <row r="9" spans="1:17" ht="18" x14ac:dyDescent="0.25">
      <c r="A9" s="8">
        <v>4</v>
      </c>
      <c r="B9" s="8">
        <v>4</v>
      </c>
      <c r="C9" s="63">
        <v>45384</v>
      </c>
      <c r="D9" s="8">
        <v>100</v>
      </c>
      <c r="E9" s="8"/>
      <c r="F9" s="8">
        <v>100</v>
      </c>
      <c r="G9" s="8" t="s">
        <v>156</v>
      </c>
      <c r="H9" s="2"/>
      <c r="I9" s="2"/>
      <c r="J9" s="2"/>
      <c r="K9" s="2"/>
      <c r="L9" s="2"/>
      <c r="M9" s="2"/>
    </row>
    <row r="10" spans="1:17" ht="18" x14ac:dyDescent="0.25">
      <c r="A10" s="8">
        <v>5</v>
      </c>
      <c r="B10" s="8">
        <v>5</v>
      </c>
      <c r="C10" s="9">
        <v>45413</v>
      </c>
      <c r="D10" s="8">
        <v>100</v>
      </c>
      <c r="E10" s="8"/>
      <c r="F10" s="8">
        <v>100</v>
      </c>
      <c r="G10" s="8" t="s">
        <v>157</v>
      </c>
      <c r="H10" s="2"/>
      <c r="I10" s="2"/>
      <c r="J10" s="2"/>
      <c r="K10" s="2"/>
      <c r="L10" s="2"/>
      <c r="M10" s="2"/>
    </row>
    <row r="11" spans="1:17" ht="18" x14ac:dyDescent="0.25">
      <c r="A11" s="8">
        <v>6</v>
      </c>
      <c r="B11" s="8">
        <v>6</v>
      </c>
      <c r="C11" s="9">
        <v>45444</v>
      </c>
      <c r="D11" s="8">
        <v>100</v>
      </c>
      <c r="E11" s="8"/>
      <c r="F11" s="8">
        <v>100</v>
      </c>
      <c r="G11" s="8" t="s">
        <v>170</v>
      </c>
      <c r="H11" s="2"/>
      <c r="I11" s="2"/>
      <c r="J11" s="2"/>
      <c r="K11" s="2"/>
      <c r="L11" s="2"/>
      <c r="M11" s="2"/>
    </row>
    <row r="12" spans="1:17" ht="18" x14ac:dyDescent="0.25">
      <c r="A12" s="8">
        <v>7</v>
      </c>
      <c r="B12" s="8">
        <v>7</v>
      </c>
      <c r="C12" s="9">
        <v>45474</v>
      </c>
      <c r="D12" s="8">
        <v>100</v>
      </c>
      <c r="E12" s="8"/>
      <c r="F12" s="8">
        <v>100</v>
      </c>
      <c r="G12" s="8" t="s">
        <v>183</v>
      </c>
      <c r="H12" s="2"/>
      <c r="I12" s="2"/>
      <c r="J12" s="2"/>
      <c r="K12" s="2"/>
      <c r="L12" s="2"/>
      <c r="M12" s="2"/>
    </row>
    <row r="13" spans="1:17" ht="18" x14ac:dyDescent="0.25">
      <c r="A13" s="8">
        <v>8</v>
      </c>
      <c r="B13" s="8">
        <v>8</v>
      </c>
      <c r="C13" s="51">
        <v>45882</v>
      </c>
      <c r="D13" s="8">
        <v>100</v>
      </c>
      <c r="E13" s="8"/>
      <c r="F13" s="8">
        <v>100</v>
      </c>
      <c r="G13" s="8" t="s">
        <v>178</v>
      </c>
      <c r="H13" s="2"/>
      <c r="I13" s="2"/>
      <c r="J13" s="2"/>
      <c r="K13" s="2"/>
      <c r="L13" s="2"/>
      <c r="M13" s="2"/>
    </row>
    <row r="14" spans="1:17" ht="18" x14ac:dyDescent="0.25">
      <c r="A14" s="8">
        <v>9</v>
      </c>
      <c r="B14" s="8">
        <v>9</v>
      </c>
      <c r="C14" s="63">
        <v>45902</v>
      </c>
      <c r="D14" s="8">
        <v>100</v>
      </c>
      <c r="E14" s="8"/>
      <c r="F14" s="8">
        <v>100</v>
      </c>
      <c r="G14" s="8" t="s">
        <v>179</v>
      </c>
      <c r="H14" s="2"/>
      <c r="I14" s="2"/>
      <c r="J14" s="2"/>
      <c r="K14" s="2"/>
      <c r="L14" s="2"/>
      <c r="M14" s="2"/>
    </row>
    <row r="15" spans="1:17" ht="18" x14ac:dyDescent="0.25">
      <c r="A15" s="8">
        <v>10</v>
      </c>
      <c r="B15" s="8">
        <v>10</v>
      </c>
      <c r="C15" s="9">
        <v>45567</v>
      </c>
      <c r="D15" s="8">
        <v>100</v>
      </c>
      <c r="E15" s="8"/>
      <c r="F15" s="8">
        <v>100</v>
      </c>
      <c r="G15" s="8" t="s">
        <v>180</v>
      </c>
      <c r="H15" s="2"/>
      <c r="I15" s="2"/>
      <c r="J15" s="2"/>
      <c r="K15" s="2"/>
      <c r="L15" s="2"/>
      <c r="M15" s="2"/>
    </row>
    <row r="16" spans="1:17" ht="18" x14ac:dyDescent="0.25">
      <c r="A16" s="8">
        <v>11</v>
      </c>
      <c r="B16" s="8">
        <v>11</v>
      </c>
      <c r="C16" s="9">
        <v>45970</v>
      </c>
      <c r="D16" s="8">
        <v>100</v>
      </c>
      <c r="E16" s="8"/>
      <c r="F16" s="8">
        <v>100</v>
      </c>
      <c r="G16" s="8" t="s">
        <v>181</v>
      </c>
      <c r="H16" s="2"/>
      <c r="I16" s="2"/>
      <c r="J16" s="2"/>
      <c r="K16" s="2"/>
      <c r="L16" s="2"/>
      <c r="M16" s="2"/>
    </row>
    <row r="17" spans="1:13" ht="18" x14ac:dyDescent="0.25">
      <c r="A17" s="8">
        <v>12</v>
      </c>
      <c r="B17" s="8">
        <v>12</v>
      </c>
      <c r="C17" s="9">
        <v>45993</v>
      </c>
      <c r="D17" s="8">
        <v>100</v>
      </c>
      <c r="E17" s="8"/>
      <c r="F17" s="8">
        <v>100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A5" workbookViewId="0">
      <selection activeCell="D18" sqref="D18"/>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 min="8" max="17" width="9.125"/>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1200</v>
      </c>
      <c r="E4" s="11"/>
      <c r="F4" s="11">
        <f>SUM(F6:F2001)</f>
        <v>1200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100</v>
      </c>
      <c r="E6" s="8"/>
      <c r="F6" s="8">
        <v>100</v>
      </c>
      <c r="G6" s="8" t="s">
        <v>110</v>
      </c>
      <c r="H6" s="2"/>
      <c r="I6" s="2"/>
      <c r="J6" s="2"/>
      <c r="K6" s="2"/>
      <c r="L6" s="2"/>
      <c r="M6" s="2"/>
    </row>
    <row r="7" spans="1:17" ht="18" x14ac:dyDescent="0.25">
      <c r="A7" s="8">
        <v>2</v>
      </c>
      <c r="B7" s="8">
        <v>2</v>
      </c>
      <c r="C7" s="63">
        <v>45322</v>
      </c>
      <c r="D7" s="8">
        <v>100</v>
      </c>
      <c r="E7" s="8"/>
      <c r="F7" s="8">
        <v>100</v>
      </c>
      <c r="G7" s="8" t="s">
        <v>111</v>
      </c>
      <c r="H7" s="2"/>
      <c r="I7" s="2"/>
      <c r="J7" s="2"/>
      <c r="K7" s="2"/>
      <c r="L7" s="2"/>
      <c r="M7" s="2"/>
    </row>
    <row r="8" spans="1:17" ht="18" x14ac:dyDescent="0.25">
      <c r="A8" s="8">
        <v>3</v>
      </c>
      <c r="B8" s="8">
        <v>3</v>
      </c>
      <c r="C8" s="63">
        <v>45719</v>
      </c>
      <c r="D8" s="8">
        <v>100</v>
      </c>
      <c r="E8" s="8"/>
      <c r="F8" s="8">
        <v>100</v>
      </c>
      <c r="G8" s="8" t="s">
        <v>155</v>
      </c>
      <c r="H8" s="2"/>
      <c r="I8" s="2"/>
      <c r="J8" s="2"/>
      <c r="K8" s="2"/>
      <c r="L8" s="2"/>
      <c r="M8" s="2"/>
    </row>
    <row r="9" spans="1:17" ht="18" x14ac:dyDescent="0.25">
      <c r="A9" s="8">
        <v>4</v>
      </c>
      <c r="B9" s="8">
        <v>4</v>
      </c>
      <c r="C9" s="63">
        <v>45384</v>
      </c>
      <c r="D9" s="8">
        <v>100</v>
      </c>
      <c r="E9" s="8"/>
      <c r="F9" s="8">
        <v>100</v>
      </c>
      <c r="G9" s="8" t="s">
        <v>156</v>
      </c>
      <c r="H9" s="2"/>
      <c r="I9" s="2"/>
      <c r="J9" s="2"/>
      <c r="K9" s="2"/>
      <c r="L9" s="2"/>
      <c r="M9" s="2"/>
    </row>
    <row r="10" spans="1:17" ht="18" x14ac:dyDescent="0.25">
      <c r="A10" s="8">
        <v>5</v>
      </c>
      <c r="B10" s="8">
        <v>5</v>
      </c>
      <c r="C10" s="63">
        <v>45413</v>
      </c>
      <c r="D10" s="8">
        <v>100</v>
      </c>
      <c r="E10" s="8"/>
      <c r="F10" s="8">
        <v>100</v>
      </c>
      <c r="G10" s="8" t="s">
        <v>157</v>
      </c>
      <c r="H10" s="2"/>
      <c r="I10" s="2"/>
      <c r="J10" s="2"/>
      <c r="K10" s="2"/>
      <c r="L10" s="2"/>
      <c r="M10" s="2"/>
    </row>
    <row r="11" spans="1:17" ht="18" x14ac:dyDescent="0.25">
      <c r="A11" s="8">
        <v>6</v>
      </c>
      <c r="B11" s="8">
        <v>6</v>
      </c>
      <c r="C11" s="63">
        <v>45444</v>
      </c>
      <c r="D11" s="8">
        <v>100</v>
      </c>
      <c r="E11" s="8"/>
      <c r="F11" s="8">
        <v>100</v>
      </c>
      <c r="G11" s="8" t="s">
        <v>176</v>
      </c>
      <c r="H11" s="2"/>
      <c r="I11" s="2"/>
      <c r="J11" s="2"/>
      <c r="K11" s="2"/>
      <c r="L11" s="2"/>
      <c r="M11" s="2"/>
    </row>
    <row r="12" spans="1:17" ht="18" x14ac:dyDescent="0.25">
      <c r="A12" s="8">
        <v>7</v>
      </c>
      <c r="B12" s="8">
        <v>7</v>
      </c>
      <c r="C12" s="63">
        <v>45474</v>
      </c>
      <c r="D12" s="8">
        <v>100</v>
      </c>
      <c r="E12" s="8"/>
      <c r="F12" s="8">
        <v>100</v>
      </c>
      <c r="G12" s="8" t="s">
        <v>177</v>
      </c>
      <c r="H12" s="2"/>
      <c r="I12" s="2"/>
      <c r="J12" s="2"/>
      <c r="K12" s="2"/>
      <c r="L12" s="2"/>
      <c r="M12" s="2"/>
    </row>
    <row r="13" spans="1:17" ht="18" x14ac:dyDescent="0.25">
      <c r="A13" s="8">
        <v>8</v>
      </c>
      <c r="B13" s="8">
        <v>8</v>
      </c>
      <c r="C13" s="51">
        <v>45882</v>
      </c>
      <c r="D13" s="8">
        <v>100</v>
      </c>
      <c r="E13" s="8"/>
      <c r="F13" s="8">
        <v>100</v>
      </c>
      <c r="G13" s="8" t="s">
        <v>178</v>
      </c>
      <c r="H13" s="2"/>
      <c r="I13" s="2"/>
      <c r="J13" s="2"/>
      <c r="K13" s="2"/>
      <c r="L13" s="2"/>
      <c r="M13" s="2"/>
    </row>
    <row r="14" spans="1:17" ht="18" x14ac:dyDescent="0.25">
      <c r="A14" s="8">
        <v>9</v>
      </c>
      <c r="B14" s="8">
        <v>9</v>
      </c>
      <c r="C14" s="63">
        <v>45902</v>
      </c>
      <c r="D14" s="8">
        <v>100</v>
      </c>
      <c r="E14" s="8"/>
      <c r="F14" s="8">
        <v>100</v>
      </c>
      <c r="G14" s="8" t="s">
        <v>179</v>
      </c>
      <c r="H14" s="2"/>
      <c r="I14" s="2"/>
      <c r="J14" s="2"/>
      <c r="K14" s="2"/>
      <c r="L14" s="2"/>
      <c r="M14" s="2"/>
    </row>
    <row r="15" spans="1:17" ht="18" x14ac:dyDescent="0.25">
      <c r="A15" s="8">
        <v>10</v>
      </c>
      <c r="B15" s="8">
        <v>10</v>
      </c>
      <c r="C15" s="63">
        <v>45932</v>
      </c>
      <c r="D15" s="8">
        <v>100</v>
      </c>
      <c r="E15" s="8"/>
      <c r="F15" s="8">
        <v>100</v>
      </c>
      <c r="G15" s="8" t="s">
        <v>180</v>
      </c>
      <c r="H15" s="2"/>
      <c r="I15" s="2"/>
      <c r="J15" s="2"/>
      <c r="K15" s="2"/>
      <c r="L15" s="2"/>
      <c r="M15" s="2"/>
    </row>
    <row r="16" spans="1:17" ht="18" x14ac:dyDescent="0.25">
      <c r="A16" s="8">
        <v>11</v>
      </c>
      <c r="B16" s="8">
        <v>11</v>
      </c>
      <c r="C16" s="63">
        <v>45970</v>
      </c>
      <c r="D16" s="8">
        <v>100</v>
      </c>
      <c r="E16" s="8"/>
      <c r="F16" s="8">
        <v>100</v>
      </c>
      <c r="G16" s="8" t="s">
        <v>181</v>
      </c>
      <c r="H16" s="2"/>
      <c r="I16" s="2"/>
      <c r="J16" s="2"/>
      <c r="K16" s="2"/>
      <c r="L16" s="2"/>
      <c r="M16" s="2"/>
    </row>
    <row r="17" spans="1:13" ht="18" x14ac:dyDescent="0.25">
      <c r="A17" s="8">
        <v>12</v>
      </c>
      <c r="B17" s="8">
        <v>12</v>
      </c>
      <c r="C17" s="63">
        <v>45992</v>
      </c>
      <c r="D17" s="8">
        <v>100</v>
      </c>
      <c r="E17" s="8"/>
      <c r="F17" s="8">
        <v>100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A4" workbookViewId="0">
      <selection activeCell="E19" sqref="E19"/>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600</v>
      </c>
      <c r="E4" s="11"/>
      <c r="F4" s="83">
        <f>SUM(F6:F2001)</f>
        <v>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45708</v>
      </c>
      <c r="D6" s="8">
        <v>50</v>
      </c>
      <c r="E6" s="8"/>
      <c r="F6" s="33">
        <v>50</v>
      </c>
      <c r="G6" s="8" t="s">
        <v>236</v>
      </c>
      <c r="H6" s="2"/>
      <c r="I6" s="2"/>
      <c r="J6" s="2"/>
      <c r="K6" s="2"/>
      <c r="L6" s="2"/>
      <c r="M6" s="2"/>
    </row>
    <row r="7" spans="1:17" ht="18" x14ac:dyDescent="0.25">
      <c r="A7" s="33">
        <v>2</v>
      </c>
      <c r="B7" s="33">
        <v>2</v>
      </c>
      <c r="C7" s="77">
        <v>45708</v>
      </c>
      <c r="D7" s="8">
        <v>50</v>
      </c>
      <c r="E7" s="8"/>
      <c r="F7" s="33">
        <v>50</v>
      </c>
      <c r="G7" s="8" t="s">
        <v>237</v>
      </c>
      <c r="H7" s="2"/>
      <c r="I7" s="2"/>
      <c r="J7" s="2"/>
      <c r="K7" s="2"/>
      <c r="L7" s="2"/>
      <c r="M7" s="2"/>
    </row>
    <row r="8" spans="1:17" ht="18" x14ac:dyDescent="0.25">
      <c r="A8" s="33">
        <v>3</v>
      </c>
      <c r="B8" s="33">
        <v>3</v>
      </c>
      <c r="C8" s="77">
        <v>45757</v>
      </c>
      <c r="D8" s="8">
        <v>50</v>
      </c>
      <c r="E8" s="8"/>
      <c r="F8" s="33">
        <v>50</v>
      </c>
      <c r="G8" s="8" t="s">
        <v>222</v>
      </c>
      <c r="H8" s="2"/>
      <c r="I8" s="2"/>
      <c r="J8" s="2"/>
      <c r="K8" s="2"/>
      <c r="L8" s="2"/>
      <c r="M8" s="2"/>
    </row>
    <row r="9" spans="1:17" ht="18" x14ac:dyDescent="0.25">
      <c r="A9" s="33">
        <v>4</v>
      </c>
      <c r="B9" s="33">
        <v>4</v>
      </c>
      <c r="C9" s="77">
        <v>45757</v>
      </c>
      <c r="D9" s="8">
        <v>50</v>
      </c>
      <c r="E9" s="8"/>
      <c r="F9" s="33">
        <v>50</v>
      </c>
      <c r="G9" s="8" t="s">
        <v>223</v>
      </c>
      <c r="H9" s="2"/>
      <c r="I9" s="2"/>
      <c r="J9" s="2"/>
      <c r="K9" s="2"/>
      <c r="L9" s="2"/>
      <c r="M9" s="2"/>
    </row>
    <row r="10" spans="1:17" ht="18" x14ac:dyDescent="0.25">
      <c r="A10" s="33">
        <v>5</v>
      </c>
      <c r="B10" s="33">
        <v>5</v>
      </c>
      <c r="C10" s="77">
        <v>45830</v>
      </c>
      <c r="D10" s="8">
        <v>50</v>
      </c>
      <c r="E10" s="8"/>
      <c r="F10" s="33">
        <v>50</v>
      </c>
      <c r="G10" s="8" t="s">
        <v>224</v>
      </c>
      <c r="H10" s="2"/>
      <c r="I10" s="2"/>
      <c r="J10" s="2"/>
      <c r="K10" s="2"/>
      <c r="L10" s="2"/>
      <c r="M10" s="2"/>
    </row>
    <row r="11" spans="1:17" ht="18" x14ac:dyDescent="0.25">
      <c r="A11" s="33">
        <v>6</v>
      </c>
      <c r="B11" s="33">
        <v>6</v>
      </c>
      <c r="C11" s="77">
        <v>45830</v>
      </c>
      <c r="D11" s="8">
        <v>50</v>
      </c>
      <c r="E11" s="8"/>
      <c r="F11" s="33">
        <v>50</v>
      </c>
      <c r="G11" s="8" t="s">
        <v>225</v>
      </c>
      <c r="H11" s="2"/>
      <c r="I11" s="2"/>
      <c r="J11" s="2"/>
      <c r="K11" s="2"/>
      <c r="L11" s="2"/>
      <c r="M11" s="2"/>
    </row>
    <row r="12" spans="1:17" ht="18" x14ac:dyDescent="0.25">
      <c r="A12" s="33">
        <v>7</v>
      </c>
      <c r="B12" s="33">
        <v>7</v>
      </c>
      <c r="C12" s="77">
        <v>45901</v>
      </c>
      <c r="D12" s="8">
        <v>50</v>
      </c>
      <c r="E12" s="8"/>
      <c r="F12" s="33">
        <v>50</v>
      </c>
      <c r="G12" s="8" t="s">
        <v>238</v>
      </c>
      <c r="H12" s="2"/>
      <c r="I12" s="2"/>
      <c r="J12" s="2"/>
      <c r="K12" s="2"/>
      <c r="L12" s="2"/>
      <c r="M12" s="2"/>
    </row>
    <row r="13" spans="1:17" ht="18" x14ac:dyDescent="0.25">
      <c r="A13" s="33">
        <v>8</v>
      </c>
      <c r="B13" s="33">
        <v>8</v>
      </c>
      <c r="C13" s="77">
        <v>45901</v>
      </c>
      <c r="D13" s="8">
        <v>50</v>
      </c>
      <c r="E13" s="8"/>
      <c r="F13" s="33">
        <v>50</v>
      </c>
      <c r="G13" s="8" t="s">
        <v>239</v>
      </c>
      <c r="H13" s="2"/>
      <c r="I13" s="2"/>
      <c r="J13" s="2"/>
      <c r="K13" s="2"/>
      <c r="L13" s="2"/>
      <c r="M13" s="2"/>
    </row>
    <row r="14" spans="1:17" ht="18" x14ac:dyDescent="0.25">
      <c r="A14" s="33">
        <v>9</v>
      </c>
      <c r="B14" s="33">
        <v>9</v>
      </c>
      <c r="C14" s="77">
        <v>45934</v>
      </c>
      <c r="D14" s="8">
        <v>50</v>
      </c>
      <c r="E14" s="8"/>
      <c r="F14" s="33">
        <v>50</v>
      </c>
      <c r="G14" s="8" t="s">
        <v>240</v>
      </c>
      <c r="H14" s="2"/>
      <c r="I14" s="2"/>
      <c r="J14" s="2"/>
      <c r="K14" s="2"/>
      <c r="L14" s="2"/>
      <c r="M14" s="2"/>
    </row>
    <row r="15" spans="1:17" ht="18" x14ac:dyDescent="0.25">
      <c r="A15" s="33">
        <v>10</v>
      </c>
      <c r="B15" s="33">
        <v>10</v>
      </c>
      <c r="C15" s="77">
        <v>45934</v>
      </c>
      <c r="D15" s="8">
        <v>50</v>
      </c>
      <c r="E15" s="8"/>
      <c r="F15" s="33">
        <v>50</v>
      </c>
      <c r="G15" s="8" t="s">
        <v>241</v>
      </c>
      <c r="H15" s="2"/>
      <c r="I15" s="2"/>
      <c r="J15" s="2"/>
      <c r="K15" s="2"/>
      <c r="L15" s="2"/>
      <c r="M15" s="2"/>
    </row>
    <row r="16" spans="1:17" ht="18" x14ac:dyDescent="0.25">
      <c r="A16" s="33">
        <v>11</v>
      </c>
      <c r="B16" s="33">
        <v>11</v>
      </c>
      <c r="C16" s="77">
        <v>45985</v>
      </c>
      <c r="D16" s="8">
        <v>50</v>
      </c>
      <c r="E16" s="8"/>
      <c r="F16" s="33">
        <v>50</v>
      </c>
      <c r="G16" s="8" t="s">
        <v>242</v>
      </c>
      <c r="H16" s="2"/>
      <c r="I16" s="2"/>
      <c r="J16" s="2"/>
      <c r="K16" s="2"/>
      <c r="L16" s="2"/>
      <c r="M16" s="2"/>
    </row>
    <row r="17" spans="1:13" ht="18" x14ac:dyDescent="0.25">
      <c r="A17" s="33">
        <v>12</v>
      </c>
      <c r="B17" s="33">
        <v>12</v>
      </c>
      <c r="C17" s="77">
        <v>45985</v>
      </c>
      <c r="D17" s="8">
        <v>50</v>
      </c>
      <c r="E17" s="8"/>
      <c r="F17" s="33">
        <v>50</v>
      </c>
      <c r="G17" s="8" t="s">
        <v>228</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5" workbookViewId="0">
      <selection activeCell="C16" sqref="C16:C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1200</v>
      </c>
      <c r="E4" s="11"/>
      <c r="F4" s="11">
        <f>SUM(F6:F2001)</f>
        <v>1200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45722</v>
      </c>
      <c r="D6" s="73">
        <v>100</v>
      </c>
      <c r="E6" s="8"/>
      <c r="F6" s="73">
        <v>100</v>
      </c>
      <c r="G6" s="8" t="s">
        <v>236</v>
      </c>
      <c r="H6" s="2"/>
      <c r="I6" s="2"/>
      <c r="J6" s="2"/>
      <c r="K6" s="2"/>
      <c r="L6" s="2"/>
      <c r="M6" s="2"/>
    </row>
    <row r="7" spans="1:17" ht="18" x14ac:dyDescent="0.25">
      <c r="A7" s="8">
        <v>2</v>
      </c>
      <c r="B7" s="73">
        <v>2</v>
      </c>
      <c r="C7" s="51">
        <v>45722</v>
      </c>
      <c r="D7" s="73">
        <v>100</v>
      </c>
      <c r="E7" s="8"/>
      <c r="F7" s="73">
        <v>100</v>
      </c>
      <c r="G7" s="8" t="s">
        <v>237</v>
      </c>
      <c r="H7" s="2"/>
      <c r="I7" s="2"/>
      <c r="J7" s="2"/>
      <c r="K7" s="2"/>
      <c r="L7" s="2"/>
      <c r="M7" s="2"/>
    </row>
    <row r="8" spans="1:17" ht="18" x14ac:dyDescent="0.25">
      <c r="A8" s="8">
        <v>3</v>
      </c>
      <c r="B8" s="73">
        <v>3</v>
      </c>
      <c r="C8" s="51">
        <v>45722</v>
      </c>
      <c r="D8" s="73">
        <v>100</v>
      </c>
      <c r="E8" s="8"/>
      <c r="F8" s="73">
        <v>100</v>
      </c>
      <c r="G8" s="8" t="s">
        <v>222</v>
      </c>
      <c r="H8" s="2"/>
      <c r="I8" s="2"/>
      <c r="J8" s="2"/>
      <c r="K8" s="2"/>
      <c r="L8" s="2"/>
      <c r="M8" s="2"/>
    </row>
    <row r="9" spans="1:17" ht="18" x14ac:dyDescent="0.25">
      <c r="A9" s="8">
        <v>4</v>
      </c>
      <c r="B9" s="73">
        <v>4</v>
      </c>
      <c r="C9" s="51">
        <v>45857</v>
      </c>
      <c r="D9" s="73">
        <v>100</v>
      </c>
      <c r="E9" s="8"/>
      <c r="F9" s="73">
        <v>100</v>
      </c>
      <c r="G9" s="8" t="s">
        <v>223</v>
      </c>
      <c r="H9" s="2"/>
      <c r="I9" s="2"/>
      <c r="J9" s="2"/>
      <c r="K9" s="2"/>
      <c r="L9" s="2"/>
      <c r="M9" s="2"/>
    </row>
    <row r="10" spans="1:17" ht="18" x14ac:dyDescent="0.25">
      <c r="A10" s="8">
        <v>5</v>
      </c>
      <c r="B10" s="73">
        <v>5</v>
      </c>
      <c r="C10" s="51">
        <v>45857</v>
      </c>
      <c r="D10" s="73">
        <v>100</v>
      </c>
      <c r="E10" s="8"/>
      <c r="F10" s="73">
        <v>100</v>
      </c>
      <c r="G10" s="8" t="s">
        <v>224</v>
      </c>
      <c r="H10" s="2"/>
      <c r="I10" s="2"/>
      <c r="J10" s="2"/>
      <c r="K10" s="2"/>
      <c r="L10" s="2"/>
      <c r="M10" s="2"/>
    </row>
    <row r="11" spans="1:17" ht="18" x14ac:dyDescent="0.25">
      <c r="A11" s="8">
        <v>6</v>
      </c>
      <c r="B11" s="73">
        <v>6</v>
      </c>
      <c r="C11" s="51">
        <v>45857</v>
      </c>
      <c r="D11" s="73">
        <v>100</v>
      </c>
      <c r="E11" s="8"/>
      <c r="F11" s="73">
        <v>100</v>
      </c>
      <c r="G11" s="8" t="s">
        <v>225</v>
      </c>
      <c r="H11" s="2"/>
      <c r="I11" s="2"/>
      <c r="J11" s="2"/>
      <c r="K11" s="2"/>
      <c r="L11" s="2"/>
      <c r="M11" s="2"/>
    </row>
    <row r="12" spans="1:17" ht="18" x14ac:dyDescent="0.25">
      <c r="A12" s="8">
        <v>7</v>
      </c>
      <c r="B12" s="73">
        <v>7</v>
      </c>
      <c r="C12" s="51">
        <v>45857</v>
      </c>
      <c r="D12" s="73">
        <v>100</v>
      </c>
      <c r="E12" s="8"/>
      <c r="F12" s="73">
        <v>100</v>
      </c>
      <c r="G12" s="8" t="s">
        <v>238</v>
      </c>
      <c r="H12" s="2"/>
      <c r="I12" s="2"/>
      <c r="J12" s="2"/>
      <c r="K12" s="2"/>
      <c r="L12" s="2"/>
      <c r="M12" s="2"/>
    </row>
    <row r="13" spans="1:17" ht="18" x14ac:dyDescent="0.25">
      <c r="A13" s="8">
        <v>8</v>
      </c>
      <c r="B13" s="73">
        <v>8</v>
      </c>
      <c r="C13" s="51">
        <v>45941</v>
      </c>
      <c r="D13" s="73">
        <v>100</v>
      </c>
      <c r="E13" s="8"/>
      <c r="F13" s="73">
        <v>100</v>
      </c>
      <c r="G13" s="8" t="s">
        <v>239</v>
      </c>
      <c r="H13" s="2"/>
      <c r="I13" s="2"/>
      <c r="J13" s="2"/>
      <c r="K13" s="2"/>
      <c r="L13" s="2"/>
      <c r="M13" s="2"/>
    </row>
    <row r="14" spans="1:17" ht="18" x14ac:dyDescent="0.25">
      <c r="A14" s="8">
        <v>9</v>
      </c>
      <c r="B14" s="73">
        <v>9</v>
      </c>
      <c r="C14" s="77">
        <v>45941</v>
      </c>
      <c r="D14" s="73">
        <v>100</v>
      </c>
      <c r="E14" s="8"/>
      <c r="F14" s="73">
        <v>100</v>
      </c>
      <c r="G14" s="8" t="s">
        <v>240</v>
      </c>
      <c r="H14" s="2"/>
      <c r="I14" s="2"/>
      <c r="J14" s="2"/>
      <c r="K14" s="2"/>
      <c r="L14" s="2"/>
      <c r="M14" s="2"/>
    </row>
    <row r="15" spans="1:17" ht="18" x14ac:dyDescent="0.25">
      <c r="A15" s="8">
        <v>10</v>
      </c>
      <c r="B15" s="73">
        <v>10</v>
      </c>
      <c r="C15" s="77">
        <v>45995</v>
      </c>
      <c r="D15" s="73">
        <v>100</v>
      </c>
      <c r="E15" s="8"/>
      <c r="F15" s="73">
        <v>100</v>
      </c>
      <c r="G15" s="8" t="s">
        <v>241</v>
      </c>
      <c r="H15" s="2"/>
      <c r="I15" s="2"/>
      <c r="J15" s="2"/>
      <c r="K15" s="2"/>
      <c r="L15" s="2"/>
      <c r="M15" s="2"/>
    </row>
    <row r="16" spans="1:17" ht="18" x14ac:dyDescent="0.25">
      <c r="A16" s="8">
        <v>11</v>
      </c>
      <c r="B16" s="73">
        <v>11</v>
      </c>
      <c r="C16" s="77">
        <v>45995</v>
      </c>
      <c r="D16" s="73">
        <v>100</v>
      </c>
      <c r="E16" s="8"/>
      <c r="F16" s="73">
        <v>100</v>
      </c>
      <c r="G16" s="8" t="s">
        <v>242</v>
      </c>
      <c r="H16" s="2"/>
      <c r="I16" s="2"/>
      <c r="J16" s="2"/>
      <c r="K16" s="2"/>
      <c r="L16" s="2"/>
      <c r="M16" s="2"/>
    </row>
    <row r="17" spans="1:13" ht="18" x14ac:dyDescent="0.25">
      <c r="A17" s="8">
        <v>12</v>
      </c>
      <c r="B17" s="73">
        <v>12</v>
      </c>
      <c r="C17" s="77">
        <v>45995</v>
      </c>
      <c r="D17" s="73">
        <v>100</v>
      </c>
      <c r="E17" s="8"/>
      <c r="F17" s="73">
        <v>100</v>
      </c>
      <c r="G17" s="8" t="s">
        <v>228</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56" workbookViewId="0">
      <selection activeCell="G71" sqref="G71"/>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35080</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45649</v>
      </c>
      <c r="C6" s="55">
        <v>600</v>
      </c>
      <c r="D6" s="8"/>
      <c r="E6" s="8" t="s">
        <v>142</v>
      </c>
      <c r="F6" s="8">
        <v>12</v>
      </c>
      <c r="G6" s="8" t="s">
        <v>210</v>
      </c>
      <c r="H6" s="2"/>
      <c r="I6" s="2"/>
      <c r="J6" s="2"/>
      <c r="K6" s="2"/>
      <c r="L6" s="2"/>
      <c r="M6" s="2"/>
    </row>
    <row r="7" spans="1:17" ht="18" x14ac:dyDescent="0.25">
      <c r="A7" s="8">
        <v>2</v>
      </c>
      <c r="B7" s="51">
        <v>45659</v>
      </c>
      <c r="C7" s="55">
        <v>200</v>
      </c>
      <c r="E7" s="8" t="s">
        <v>48</v>
      </c>
      <c r="F7" s="8">
        <v>7</v>
      </c>
      <c r="G7" s="8" t="s">
        <v>214</v>
      </c>
      <c r="H7" s="2"/>
      <c r="I7" s="2"/>
      <c r="J7" s="2"/>
      <c r="K7" s="2"/>
      <c r="L7" s="2"/>
      <c r="M7" s="2"/>
    </row>
    <row r="8" spans="1:17" ht="18" x14ac:dyDescent="0.25">
      <c r="A8" s="8">
        <v>3</v>
      </c>
      <c r="B8" s="51">
        <v>45659</v>
      </c>
      <c r="C8" s="55">
        <v>100</v>
      </c>
      <c r="D8" s="8"/>
      <c r="E8" s="8" t="s">
        <v>213</v>
      </c>
      <c r="F8" s="8">
        <v>4</v>
      </c>
      <c r="G8" s="8" t="s">
        <v>214</v>
      </c>
      <c r="H8" s="2"/>
      <c r="I8" s="2"/>
      <c r="J8" s="2"/>
      <c r="K8" s="2"/>
      <c r="L8" s="2"/>
      <c r="M8" s="2"/>
    </row>
    <row r="9" spans="1:17" ht="18" x14ac:dyDescent="0.25">
      <c r="A9" s="8">
        <v>4</v>
      </c>
      <c r="B9" s="51">
        <v>45659</v>
      </c>
      <c r="C9" s="55">
        <v>100</v>
      </c>
      <c r="D9" s="8"/>
      <c r="E9" s="8" t="s">
        <v>141</v>
      </c>
      <c r="F9" s="8">
        <v>3</v>
      </c>
      <c r="G9" s="8" t="s">
        <v>214</v>
      </c>
      <c r="H9" s="2"/>
      <c r="I9" s="2"/>
      <c r="J9" s="2"/>
      <c r="K9" s="2"/>
      <c r="L9" s="2"/>
      <c r="M9" s="2"/>
    </row>
    <row r="10" spans="1:17" ht="18" x14ac:dyDescent="0.25">
      <c r="A10" s="8">
        <v>5</v>
      </c>
      <c r="B10" s="51">
        <v>45681</v>
      </c>
      <c r="C10" s="55">
        <v>200</v>
      </c>
      <c r="E10" s="8" t="s">
        <v>218</v>
      </c>
      <c r="F10" s="8">
        <v>8</v>
      </c>
      <c r="G10" s="8" t="s">
        <v>219</v>
      </c>
      <c r="H10" s="2"/>
      <c r="I10" s="2"/>
      <c r="J10" s="2"/>
      <c r="K10" s="2"/>
      <c r="L10" s="2"/>
      <c r="M10" s="2"/>
    </row>
    <row r="11" spans="1:17" ht="18" x14ac:dyDescent="0.25">
      <c r="A11" s="8">
        <v>6</v>
      </c>
      <c r="B11" s="51">
        <v>45659</v>
      </c>
      <c r="C11" s="55">
        <v>200</v>
      </c>
      <c r="E11" s="8" t="s">
        <v>48</v>
      </c>
      <c r="F11" s="8">
        <v>7</v>
      </c>
      <c r="G11" s="8" t="s">
        <v>221</v>
      </c>
      <c r="H11" s="2"/>
      <c r="I11" s="2"/>
      <c r="J11" s="2"/>
      <c r="M11" s="2"/>
    </row>
    <row r="12" spans="1:17" ht="18" x14ac:dyDescent="0.25">
      <c r="A12" s="8">
        <v>7</v>
      </c>
      <c r="B12" s="51">
        <v>45659</v>
      </c>
      <c r="C12" s="55">
        <v>100</v>
      </c>
      <c r="D12" s="8"/>
      <c r="E12" s="8" t="s">
        <v>213</v>
      </c>
      <c r="F12" s="8">
        <v>4</v>
      </c>
      <c r="G12" s="8" t="s">
        <v>221</v>
      </c>
      <c r="H12" s="2"/>
      <c r="I12" s="2"/>
      <c r="J12" s="2"/>
      <c r="M12" s="2"/>
    </row>
    <row r="13" spans="1:17" ht="18" x14ac:dyDescent="0.25">
      <c r="A13" s="8">
        <v>8</v>
      </c>
      <c r="B13" s="51">
        <v>45659</v>
      </c>
      <c r="C13" s="55">
        <v>100</v>
      </c>
      <c r="D13" s="8"/>
      <c r="E13" s="8" t="s">
        <v>141</v>
      </c>
      <c r="F13" s="8">
        <v>3</v>
      </c>
      <c r="G13" s="8" t="s">
        <v>221</v>
      </c>
      <c r="H13" s="2"/>
      <c r="I13" s="2"/>
      <c r="J13" s="2"/>
      <c r="M13" s="2"/>
    </row>
    <row r="14" spans="1:17" ht="18" x14ac:dyDescent="0.25">
      <c r="A14" s="8">
        <v>9</v>
      </c>
      <c r="B14" s="51">
        <v>45708</v>
      </c>
      <c r="C14" s="55">
        <v>100</v>
      </c>
      <c r="D14" s="8"/>
      <c r="E14" s="8" t="s">
        <v>160</v>
      </c>
      <c r="F14" s="8">
        <v>2</v>
      </c>
      <c r="G14" s="8" t="s">
        <v>235</v>
      </c>
      <c r="H14" s="2"/>
      <c r="I14" s="2"/>
      <c r="J14" s="2"/>
      <c r="K14" s="2"/>
      <c r="L14" s="2"/>
      <c r="M14" s="2"/>
    </row>
    <row r="15" spans="1:17" ht="18" x14ac:dyDescent="0.25">
      <c r="A15" s="8">
        <v>10</v>
      </c>
      <c r="B15" s="51">
        <v>45716</v>
      </c>
      <c r="C15" s="55">
        <v>400</v>
      </c>
      <c r="E15" s="8" t="s">
        <v>218</v>
      </c>
      <c r="F15" s="8">
        <v>8</v>
      </c>
      <c r="G15" s="8" t="s">
        <v>243</v>
      </c>
      <c r="H15" s="2"/>
      <c r="I15" s="2"/>
      <c r="J15" s="2"/>
      <c r="K15" s="2"/>
      <c r="L15" s="2"/>
      <c r="M15" s="2"/>
    </row>
    <row r="16" spans="1:17" ht="18" x14ac:dyDescent="0.25">
      <c r="A16" s="8">
        <v>11</v>
      </c>
      <c r="B16" s="51">
        <v>45719</v>
      </c>
      <c r="C16" s="55">
        <v>200</v>
      </c>
      <c r="E16" s="8" t="s">
        <v>48</v>
      </c>
      <c r="F16" s="8">
        <v>7</v>
      </c>
      <c r="G16" s="8" t="s">
        <v>222</v>
      </c>
      <c r="H16" s="2"/>
      <c r="I16" s="2"/>
      <c r="J16" s="2"/>
      <c r="K16" s="2"/>
      <c r="L16" s="2"/>
      <c r="M16" s="2"/>
    </row>
    <row r="17" spans="1:13" ht="18" x14ac:dyDescent="0.25">
      <c r="A17" s="8">
        <v>12</v>
      </c>
      <c r="B17" s="51">
        <v>45719</v>
      </c>
      <c r="C17" s="55">
        <v>100</v>
      </c>
      <c r="D17" s="8"/>
      <c r="E17" s="8" t="s">
        <v>213</v>
      </c>
      <c r="F17" s="8">
        <v>4</v>
      </c>
      <c r="G17" s="8" t="s">
        <v>222</v>
      </c>
      <c r="H17" s="2"/>
      <c r="I17" s="2"/>
      <c r="J17" s="2"/>
    </row>
    <row r="18" spans="1:13" ht="18" x14ac:dyDescent="0.25">
      <c r="A18" s="8">
        <v>13</v>
      </c>
      <c r="B18" s="51">
        <v>45719</v>
      </c>
      <c r="C18" s="55">
        <v>100</v>
      </c>
      <c r="D18" s="8"/>
      <c r="E18" s="8" t="s">
        <v>141</v>
      </c>
      <c r="F18" s="8">
        <v>3</v>
      </c>
      <c r="G18" s="8" t="s">
        <v>222</v>
      </c>
      <c r="H18" s="2"/>
      <c r="I18" s="2"/>
      <c r="J18" s="2"/>
      <c r="K18" s="2"/>
      <c r="L18" s="2"/>
      <c r="M18" s="2"/>
    </row>
    <row r="19" spans="1:13" ht="18" x14ac:dyDescent="0.25">
      <c r="A19" s="8">
        <v>14</v>
      </c>
      <c r="B19" s="51">
        <v>45722</v>
      </c>
      <c r="C19" s="55">
        <v>300</v>
      </c>
      <c r="D19" s="8"/>
      <c r="E19" s="8" t="s">
        <v>186</v>
      </c>
      <c r="F19" s="8">
        <v>1</v>
      </c>
      <c r="G19" s="8" t="s">
        <v>245</v>
      </c>
      <c r="H19" s="2"/>
      <c r="I19" s="2"/>
      <c r="J19" s="2"/>
      <c r="K19" s="2"/>
      <c r="L19" s="2"/>
      <c r="M19" s="2"/>
    </row>
    <row r="20" spans="1:13" ht="18" x14ac:dyDescent="0.25">
      <c r="A20" s="8">
        <v>15</v>
      </c>
      <c r="B20" s="51">
        <v>45733</v>
      </c>
      <c r="C20" s="55">
        <v>2200</v>
      </c>
      <c r="E20" s="8" t="s">
        <v>251</v>
      </c>
      <c r="F20" s="8"/>
      <c r="G20" s="8" t="s">
        <v>250</v>
      </c>
      <c r="H20" s="2"/>
      <c r="I20" s="2"/>
      <c r="J20" s="2"/>
      <c r="K20" s="2"/>
      <c r="L20" s="2"/>
      <c r="M20" s="2"/>
    </row>
    <row r="21" spans="1:13" ht="18" x14ac:dyDescent="0.25">
      <c r="A21" s="8">
        <v>16</v>
      </c>
      <c r="B21" s="51">
        <v>45743</v>
      </c>
      <c r="C21" s="55">
        <v>600</v>
      </c>
      <c r="D21" s="8"/>
      <c r="E21" s="8" t="s">
        <v>142</v>
      </c>
      <c r="F21" s="8">
        <v>12</v>
      </c>
      <c r="G21" s="8" t="s">
        <v>263</v>
      </c>
      <c r="H21" s="2"/>
      <c r="I21" s="2"/>
      <c r="J21" s="2"/>
      <c r="K21" s="2"/>
      <c r="L21" s="2"/>
      <c r="M21" s="2"/>
    </row>
    <row r="22" spans="1:13" ht="18" x14ac:dyDescent="0.25">
      <c r="A22" s="8">
        <v>17</v>
      </c>
      <c r="B22" s="51">
        <v>45750</v>
      </c>
      <c r="C22" s="55">
        <v>200</v>
      </c>
      <c r="E22" s="8" t="s">
        <v>48</v>
      </c>
      <c r="F22" s="8">
        <v>7</v>
      </c>
      <c r="G22" s="8" t="s">
        <v>223</v>
      </c>
      <c r="H22" s="2"/>
      <c r="I22" s="2"/>
      <c r="J22" s="2"/>
      <c r="K22" s="2"/>
      <c r="L22" s="2"/>
      <c r="M22" s="2"/>
    </row>
    <row r="23" spans="1:13" ht="18" x14ac:dyDescent="0.25">
      <c r="A23" s="8">
        <v>18</v>
      </c>
      <c r="B23" s="51">
        <v>45750</v>
      </c>
      <c r="C23" s="55">
        <v>100</v>
      </c>
      <c r="D23" s="8"/>
      <c r="E23" s="8" t="s">
        <v>213</v>
      </c>
      <c r="F23" s="8">
        <v>4</v>
      </c>
      <c r="G23" s="8" t="s">
        <v>223</v>
      </c>
      <c r="H23" s="2"/>
      <c r="I23" s="2"/>
      <c r="J23" s="2"/>
      <c r="K23" s="2"/>
      <c r="L23" s="2"/>
      <c r="M23" s="2"/>
    </row>
    <row r="24" spans="1:13" ht="18" x14ac:dyDescent="0.25">
      <c r="A24" s="8">
        <v>19</v>
      </c>
      <c r="B24" s="51">
        <v>45750</v>
      </c>
      <c r="C24" s="55">
        <v>100</v>
      </c>
      <c r="D24" s="8"/>
      <c r="E24" s="8" t="s">
        <v>141</v>
      </c>
      <c r="F24" s="8">
        <v>3</v>
      </c>
      <c r="G24" s="8" t="s">
        <v>223</v>
      </c>
      <c r="H24" s="2"/>
      <c r="I24" s="2"/>
      <c r="J24" s="2"/>
      <c r="K24" s="2"/>
      <c r="L24" s="2"/>
      <c r="M24" s="2"/>
    </row>
    <row r="25" spans="1:13" ht="18" x14ac:dyDescent="0.25">
      <c r="A25" s="8">
        <v>20</v>
      </c>
      <c r="B25" s="51">
        <v>45757</v>
      </c>
      <c r="C25" s="55">
        <v>100</v>
      </c>
      <c r="D25" s="8"/>
      <c r="E25" s="8" t="s">
        <v>160</v>
      </c>
      <c r="F25" s="8">
        <v>2</v>
      </c>
      <c r="G25" s="8" t="s">
        <v>267</v>
      </c>
      <c r="H25" s="2"/>
      <c r="I25" s="2"/>
      <c r="J25" s="2"/>
      <c r="K25" s="2"/>
      <c r="L25" s="2"/>
      <c r="M25" s="2"/>
    </row>
    <row r="26" spans="1:13" ht="18" x14ac:dyDescent="0.25">
      <c r="A26" s="8">
        <v>21</v>
      </c>
      <c r="B26" s="51">
        <v>45777</v>
      </c>
      <c r="C26" s="55">
        <v>2400</v>
      </c>
      <c r="D26" s="8"/>
      <c r="E26" s="8" t="s">
        <v>268</v>
      </c>
      <c r="F26" s="8">
        <v>6</v>
      </c>
      <c r="G26" s="8" t="s">
        <v>332</v>
      </c>
      <c r="H26" s="2"/>
      <c r="I26" s="2"/>
      <c r="J26" s="2"/>
      <c r="K26" s="2"/>
      <c r="L26" s="2"/>
      <c r="M26" s="2"/>
    </row>
    <row r="27" spans="1:13" ht="18" x14ac:dyDescent="0.25">
      <c r="A27" s="8">
        <v>22</v>
      </c>
      <c r="B27" s="51">
        <v>45779</v>
      </c>
      <c r="C27" s="55">
        <v>200</v>
      </c>
      <c r="E27" s="8" t="s">
        <v>48</v>
      </c>
      <c r="F27" s="8">
        <v>7</v>
      </c>
      <c r="G27" s="8" t="s">
        <v>224</v>
      </c>
      <c r="H27" s="2"/>
      <c r="I27" s="2"/>
      <c r="J27" s="2"/>
      <c r="K27" s="2"/>
      <c r="L27" s="2"/>
      <c r="M27" s="2"/>
    </row>
    <row r="28" spans="1:13" ht="18" x14ac:dyDescent="0.25">
      <c r="A28" s="8">
        <v>23</v>
      </c>
      <c r="B28" s="51">
        <v>45779</v>
      </c>
      <c r="C28" s="55">
        <v>100</v>
      </c>
      <c r="D28" s="8"/>
      <c r="E28" s="8" t="s">
        <v>213</v>
      </c>
      <c r="F28" s="8">
        <v>4</v>
      </c>
      <c r="G28" s="8" t="s">
        <v>224</v>
      </c>
      <c r="H28" s="2"/>
      <c r="I28" s="2"/>
      <c r="J28" s="2"/>
      <c r="K28" s="2"/>
      <c r="L28" s="2"/>
      <c r="M28" s="2"/>
    </row>
    <row r="29" spans="1:13" ht="18" x14ac:dyDescent="0.25">
      <c r="A29" s="8">
        <v>24</v>
      </c>
      <c r="B29" s="51">
        <v>45779</v>
      </c>
      <c r="C29" s="55">
        <v>100</v>
      </c>
      <c r="D29" s="8"/>
      <c r="E29" s="8" t="s">
        <v>141</v>
      </c>
      <c r="F29" s="8">
        <v>3</v>
      </c>
      <c r="G29" s="8" t="s">
        <v>224</v>
      </c>
      <c r="H29" s="2"/>
      <c r="I29" s="2"/>
      <c r="J29" s="2"/>
      <c r="K29" s="2"/>
      <c r="L29" s="2"/>
      <c r="M29" s="2"/>
    </row>
    <row r="30" spans="1:13" ht="18" x14ac:dyDescent="0.25">
      <c r="A30" s="8">
        <v>25</v>
      </c>
      <c r="B30" s="51">
        <v>45784</v>
      </c>
      <c r="C30" s="55">
        <v>680</v>
      </c>
      <c r="D30" s="8"/>
      <c r="E30" s="8" t="s">
        <v>269</v>
      </c>
      <c r="F30" s="8" t="s">
        <v>270</v>
      </c>
      <c r="G30" s="8" t="s">
        <v>271</v>
      </c>
      <c r="H30" s="2"/>
      <c r="I30" s="2"/>
      <c r="J30" s="2"/>
      <c r="K30" s="2"/>
      <c r="L30" s="2"/>
      <c r="M30" s="2"/>
    </row>
    <row r="31" spans="1:13" ht="18" x14ac:dyDescent="0.25">
      <c r="A31" s="8">
        <v>26</v>
      </c>
      <c r="B31" s="51">
        <v>45787</v>
      </c>
      <c r="C31" s="55">
        <v>400</v>
      </c>
      <c r="E31" s="8" t="s">
        <v>218</v>
      </c>
      <c r="F31" s="8">
        <v>8</v>
      </c>
      <c r="G31" s="8" t="s">
        <v>272</v>
      </c>
      <c r="H31" s="2"/>
      <c r="I31" s="2"/>
      <c r="J31" s="2"/>
      <c r="K31" s="2"/>
      <c r="L31" s="2"/>
      <c r="M31" s="2"/>
    </row>
    <row r="32" spans="1:13" ht="18" x14ac:dyDescent="0.25">
      <c r="A32" s="8">
        <v>27</v>
      </c>
      <c r="B32" s="51">
        <v>45806</v>
      </c>
      <c r="C32" s="55">
        <v>200</v>
      </c>
      <c r="E32" s="8" t="s">
        <v>48</v>
      </c>
      <c r="F32" s="8">
        <v>7</v>
      </c>
      <c r="G32" s="8" t="s">
        <v>276</v>
      </c>
      <c r="H32" s="2"/>
      <c r="I32" s="2"/>
      <c r="J32" s="2"/>
      <c r="K32" s="2"/>
      <c r="L32" s="2"/>
      <c r="M32" s="2"/>
    </row>
    <row r="33" spans="1:13" ht="18" x14ac:dyDescent="0.25">
      <c r="A33" s="8">
        <v>28</v>
      </c>
      <c r="B33" s="51">
        <v>45806</v>
      </c>
      <c r="C33" s="55">
        <v>100</v>
      </c>
      <c r="D33" s="8"/>
      <c r="E33" s="8" t="s">
        <v>213</v>
      </c>
      <c r="F33" s="8">
        <v>4</v>
      </c>
      <c r="G33" s="8" t="s">
        <v>276</v>
      </c>
      <c r="H33" s="2"/>
      <c r="I33" s="2"/>
      <c r="J33" s="2"/>
      <c r="K33" s="2"/>
      <c r="L33" s="2"/>
      <c r="M33" s="2"/>
    </row>
    <row r="34" spans="1:13" ht="18" x14ac:dyDescent="0.25">
      <c r="A34" s="8">
        <v>29</v>
      </c>
      <c r="B34" s="51">
        <v>45806</v>
      </c>
      <c r="C34" s="55">
        <v>100</v>
      </c>
      <c r="D34" s="8"/>
      <c r="E34" s="8" t="s">
        <v>141</v>
      </c>
      <c r="F34" s="8">
        <v>3</v>
      </c>
      <c r="G34" s="8" t="s">
        <v>276</v>
      </c>
      <c r="H34" s="2"/>
      <c r="I34" s="2"/>
      <c r="J34" s="2"/>
      <c r="K34" s="2"/>
      <c r="L34" s="2"/>
      <c r="M34" s="2"/>
    </row>
    <row r="35" spans="1:13" ht="18" x14ac:dyDescent="0.25">
      <c r="A35" s="8">
        <v>30</v>
      </c>
      <c r="B35" s="51">
        <v>45809</v>
      </c>
      <c r="C35" s="55">
        <v>300</v>
      </c>
      <c r="D35" s="8"/>
      <c r="E35" s="8" t="s">
        <v>186</v>
      </c>
      <c r="F35" s="8">
        <v>1</v>
      </c>
      <c r="G35" s="8" t="s">
        <v>277</v>
      </c>
    </row>
    <row r="36" spans="1:13" ht="18" x14ac:dyDescent="0.25">
      <c r="A36" s="8">
        <v>31</v>
      </c>
      <c r="B36" s="51">
        <v>45922</v>
      </c>
      <c r="C36" s="55">
        <v>100</v>
      </c>
      <c r="D36" s="8"/>
      <c r="E36" s="8" t="s">
        <v>160</v>
      </c>
      <c r="F36" s="8">
        <v>2</v>
      </c>
      <c r="G36" s="8" t="s">
        <v>282</v>
      </c>
    </row>
    <row r="37" spans="1:13" ht="18" x14ac:dyDescent="0.25">
      <c r="A37" s="8">
        <v>32</v>
      </c>
      <c r="B37" s="51">
        <v>45830</v>
      </c>
      <c r="C37" s="55">
        <v>600</v>
      </c>
      <c r="D37" s="8"/>
      <c r="E37" s="8" t="s">
        <v>184</v>
      </c>
      <c r="F37" s="8">
        <v>9</v>
      </c>
      <c r="G37" s="8" t="s">
        <v>283</v>
      </c>
    </row>
    <row r="38" spans="1:13" ht="18" x14ac:dyDescent="0.25">
      <c r="A38" s="8">
        <v>33</v>
      </c>
      <c r="B38" s="51">
        <v>45839</v>
      </c>
      <c r="C38" s="55">
        <v>200</v>
      </c>
      <c r="E38" s="8" t="s">
        <v>48</v>
      </c>
      <c r="F38" s="8">
        <v>7</v>
      </c>
      <c r="G38" s="8" t="s">
        <v>286</v>
      </c>
    </row>
    <row r="39" spans="1:13" ht="18" x14ac:dyDescent="0.25">
      <c r="A39" s="8">
        <v>34</v>
      </c>
      <c r="B39" s="51">
        <v>45839</v>
      </c>
      <c r="C39" s="55">
        <v>100</v>
      </c>
      <c r="D39" s="8"/>
      <c r="E39" s="8" t="s">
        <v>213</v>
      </c>
      <c r="F39" s="8">
        <v>4</v>
      </c>
      <c r="G39" s="8" t="s">
        <v>238</v>
      </c>
    </row>
    <row r="40" spans="1:13" ht="18" x14ac:dyDescent="0.25">
      <c r="A40" s="8">
        <v>35</v>
      </c>
      <c r="B40" s="51">
        <v>45839</v>
      </c>
      <c r="C40" s="55">
        <v>100</v>
      </c>
      <c r="D40" s="8"/>
      <c r="E40" s="8" t="s">
        <v>141</v>
      </c>
      <c r="F40" s="8">
        <v>3</v>
      </c>
      <c r="G40" s="8" t="s">
        <v>238</v>
      </c>
    </row>
    <row r="41" spans="1:13" ht="18" x14ac:dyDescent="0.25">
      <c r="A41" s="8">
        <v>36</v>
      </c>
      <c r="B41" s="51">
        <v>45844</v>
      </c>
      <c r="C41" s="55">
        <v>600</v>
      </c>
      <c r="D41" s="8"/>
      <c r="E41" s="8" t="s">
        <v>142</v>
      </c>
      <c r="F41" s="8">
        <v>12</v>
      </c>
      <c r="G41" s="8" t="s">
        <v>287</v>
      </c>
      <c r="H41" s="2"/>
    </row>
    <row r="42" spans="1:13" ht="18" x14ac:dyDescent="0.25">
      <c r="A42" s="8">
        <v>37</v>
      </c>
      <c r="B42" s="51">
        <v>45861</v>
      </c>
      <c r="C42" s="55">
        <v>400</v>
      </c>
      <c r="E42" s="8" t="s">
        <v>218</v>
      </c>
      <c r="F42" s="8">
        <v>8</v>
      </c>
      <c r="G42" s="8" t="s">
        <v>290</v>
      </c>
      <c r="H42" s="2"/>
      <c r="I42" s="2"/>
      <c r="J42" s="2"/>
    </row>
    <row r="43" spans="1:13" ht="18" x14ac:dyDescent="0.25">
      <c r="A43" s="8">
        <v>38</v>
      </c>
      <c r="B43" s="51">
        <v>45866</v>
      </c>
      <c r="C43" s="55">
        <v>600</v>
      </c>
      <c r="D43" s="8"/>
      <c r="E43" s="8" t="s">
        <v>269</v>
      </c>
      <c r="F43" s="8" t="s">
        <v>270</v>
      </c>
      <c r="G43" s="8" t="s">
        <v>291</v>
      </c>
      <c r="H43" s="2"/>
      <c r="I43" s="2"/>
      <c r="J43" s="2"/>
    </row>
    <row r="44" spans="1:13" ht="18" x14ac:dyDescent="0.25">
      <c r="A44" s="8">
        <v>39</v>
      </c>
      <c r="B44" s="51">
        <v>45882</v>
      </c>
      <c r="C44" s="55">
        <v>200</v>
      </c>
      <c r="E44" s="8" t="s">
        <v>48</v>
      </c>
      <c r="F44" s="8">
        <v>7</v>
      </c>
      <c r="G44" s="8" t="s">
        <v>239</v>
      </c>
      <c r="H44" s="2"/>
      <c r="I44" s="2"/>
      <c r="J44" s="2"/>
    </row>
    <row r="45" spans="1:13" ht="18" x14ac:dyDescent="0.25">
      <c r="A45" s="8">
        <v>40</v>
      </c>
      <c r="B45" s="51">
        <v>45882</v>
      </c>
      <c r="C45" s="55">
        <v>100</v>
      </c>
      <c r="D45" s="8"/>
      <c r="E45" s="8" t="s">
        <v>213</v>
      </c>
      <c r="F45" s="8">
        <v>4</v>
      </c>
      <c r="G45" s="8" t="s">
        <v>239</v>
      </c>
      <c r="H45" s="2"/>
      <c r="I45" s="2"/>
      <c r="J45" s="2"/>
    </row>
    <row r="46" spans="1:13" ht="18" x14ac:dyDescent="0.25">
      <c r="A46" s="8">
        <v>41</v>
      </c>
      <c r="B46" s="51">
        <v>45882</v>
      </c>
      <c r="C46" s="55">
        <v>100</v>
      </c>
      <c r="D46" s="8"/>
      <c r="E46" s="8" t="s">
        <v>141</v>
      </c>
      <c r="F46" s="8">
        <v>3</v>
      </c>
      <c r="G46" s="8" t="s">
        <v>239</v>
      </c>
    </row>
    <row r="47" spans="1:13" ht="18" x14ac:dyDescent="0.25">
      <c r="A47" s="8">
        <v>42</v>
      </c>
      <c r="B47" s="51">
        <v>45902</v>
      </c>
      <c r="C47" s="55">
        <v>200</v>
      </c>
      <c r="E47" s="8" t="s">
        <v>48</v>
      </c>
      <c r="F47" s="8">
        <v>7</v>
      </c>
      <c r="G47" s="8" t="s">
        <v>240</v>
      </c>
    </row>
    <row r="48" spans="1:13" ht="18" x14ac:dyDescent="0.25">
      <c r="A48" s="8">
        <v>43</v>
      </c>
      <c r="B48" s="51">
        <v>45902</v>
      </c>
      <c r="C48" s="55">
        <v>100</v>
      </c>
      <c r="D48" s="8"/>
      <c r="E48" s="8" t="s">
        <v>213</v>
      </c>
      <c r="F48" s="8">
        <v>4</v>
      </c>
      <c r="G48" s="8" t="s">
        <v>240</v>
      </c>
    </row>
    <row r="49" spans="1:11" ht="18" x14ac:dyDescent="0.25">
      <c r="A49" s="8">
        <v>44</v>
      </c>
      <c r="B49" s="51">
        <v>45902</v>
      </c>
      <c r="C49" s="55">
        <v>100</v>
      </c>
      <c r="D49" s="8"/>
      <c r="E49" s="8" t="s">
        <v>141</v>
      </c>
      <c r="F49" s="8">
        <v>3</v>
      </c>
      <c r="G49" s="8" t="s">
        <v>240</v>
      </c>
    </row>
    <row r="50" spans="1:11" ht="18" x14ac:dyDescent="0.25">
      <c r="A50" s="8">
        <v>45</v>
      </c>
      <c r="B50" s="51">
        <v>45923</v>
      </c>
      <c r="C50" s="55">
        <v>300</v>
      </c>
      <c r="D50" s="8"/>
      <c r="E50" s="8" t="s">
        <v>186</v>
      </c>
      <c r="F50" s="8">
        <v>1</v>
      </c>
      <c r="G50" s="8" t="s">
        <v>307</v>
      </c>
    </row>
    <row r="51" spans="1:11" ht="18" x14ac:dyDescent="0.25">
      <c r="A51" s="8">
        <v>46</v>
      </c>
      <c r="B51" s="51">
        <v>45932</v>
      </c>
      <c r="C51" s="55">
        <v>200</v>
      </c>
      <c r="E51" s="8" t="s">
        <v>48</v>
      </c>
      <c r="F51" s="8">
        <v>7</v>
      </c>
      <c r="G51" s="8" t="s">
        <v>241</v>
      </c>
      <c r="H51" s="2"/>
    </row>
    <row r="52" spans="1:11" ht="18" x14ac:dyDescent="0.25">
      <c r="A52" s="8">
        <v>47</v>
      </c>
      <c r="B52" s="51">
        <v>45932</v>
      </c>
      <c r="C52" s="55">
        <v>100</v>
      </c>
      <c r="D52" s="8"/>
      <c r="E52" s="8" t="s">
        <v>213</v>
      </c>
      <c r="F52" s="8">
        <v>4</v>
      </c>
      <c r="G52" s="8" t="s">
        <v>241</v>
      </c>
    </row>
    <row r="53" spans="1:11" ht="18" x14ac:dyDescent="0.25">
      <c r="A53" s="8">
        <v>48</v>
      </c>
      <c r="B53" s="51">
        <v>45932</v>
      </c>
      <c r="C53" s="55">
        <v>100</v>
      </c>
      <c r="D53" s="8"/>
      <c r="E53" s="8" t="s">
        <v>141</v>
      </c>
      <c r="F53" s="8">
        <v>3</v>
      </c>
      <c r="G53" s="8" t="s">
        <v>241</v>
      </c>
    </row>
    <row r="54" spans="1:11" ht="18" x14ac:dyDescent="0.25">
      <c r="A54" s="8">
        <v>49</v>
      </c>
      <c r="B54" s="51">
        <v>45942</v>
      </c>
      <c r="C54" s="55">
        <v>600</v>
      </c>
      <c r="D54" s="8"/>
      <c r="E54" s="8" t="s">
        <v>142</v>
      </c>
      <c r="F54" s="8">
        <v>12</v>
      </c>
      <c r="G54" s="8" t="s">
        <v>311</v>
      </c>
    </row>
    <row r="55" spans="1:11" ht="18" x14ac:dyDescent="0.25">
      <c r="A55" s="8">
        <v>50</v>
      </c>
      <c r="B55" s="51">
        <v>45901</v>
      </c>
      <c r="C55" s="55">
        <v>100</v>
      </c>
      <c r="D55" s="8"/>
      <c r="E55" s="8" t="s">
        <v>160</v>
      </c>
      <c r="F55" s="8">
        <v>2</v>
      </c>
      <c r="G55" s="8" t="s">
        <v>312</v>
      </c>
    </row>
    <row r="56" spans="1:11" ht="18" x14ac:dyDescent="0.25">
      <c r="A56" s="8">
        <v>51</v>
      </c>
      <c r="B56" s="51">
        <v>45934</v>
      </c>
      <c r="C56" s="55">
        <v>100</v>
      </c>
      <c r="D56" s="8"/>
      <c r="E56" s="8" t="s">
        <v>160</v>
      </c>
      <c r="F56" s="8">
        <v>2</v>
      </c>
      <c r="G56" s="8" t="s">
        <v>313</v>
      </c>
    </row>
    <row r="57" spans="1:11" ht="18" x14ac:dyDescent="0.25">
      <c r="A57" s="8">
        <v>52</v>
      </c>
      <c r="B57" s="51">
        <v>45970</v>
      </c>
      <c r="C57" s="55">
        <v>2400</v>
      </c>
      <c r="D57" s="8"/>
      <c r="E57" s="8" t="s">
        <v>319</v>
      </c>
      <c r="F57" s="8">
        <v>5</v>
      </c>
      <c r="G57" s="8" t="s">
        <v>320</v>
      </c>
      <c r="H57" s="2"/>
      <c r="I57" s="2"/>
      <c r="J57" s="2"/>
      <c r="K57" s="2"/>
    </row>
    <row r="58" spans="1:11" ht="18" x14ac:dyDescent="0.25">
      <c r="A58" s="8">
        <v>53</v>
      </c>
      <c r="B58" s="51">
        <v>45970</v>
      </c>
      <c r="C58" s="55">
        <v>200</v>
      </c>
      <c r="E58" s="8" t="s">
        <v>48</v>
      </c>
      <c r="F58" s="8">
        <v>7</v>
      </c>
      <c r="G58" s="8" t="s">
        <v>242</v>
      </c>
    </row>
    <row r="59" spans="1:11" ht="18" x14ac:dyDescent="0.25">
      <c r="A59" s="8">
        <v>54</v>
      </c>
      <c r="B59" s="51">
        <v>45970</v>
      </c>
      <c r="C59" s="55">
        <v>100</v>
      </c>
      <c r="D59" s="8"/>
      <c r="E59" s="8" t="s">
        <v>213</v>
      </c>
      <c r="F59" s="8">
        <v>4</v>
      </c>
      <c r="G59" s="8" t="s">
        <v>242</v>
      </c>
    </row>
    <row r="60" spans="1:11" ht="18" x14ac:dyDescent="0.25">
      <c r="A60" s="8">
        <v>55</v>
      </c>
      <c r="B60" s="51">
        <v>45970</v>
      </c>
      <c r="C60" s="55">
        <v>100</v>
      </c>
      <c r="D60" s="8"/>
      <c r="E60" s="8" t="s">
        <v>141</v>
      </c>
      <c r="F60" s="8">
        <v>3</v>
      </c>
      <c r="G60" s="8" t="s">
        <v>242</v>
      </c>
    </row>
    <row r="61" spans="1:11" ht="18" x14ac:dyDescent="0.25">
      <c r="A61" s="8">
        <v>56</v>
      </c>
      <c r="B61" s="51">
        <v>45985</v>
      </c>
      <c r="C61" s="55">
        <v>100</v>
      </c>
      <c r="D61" s="8"/>
      <c r="E61" s="8" t="s">
        <v>160</v>
      </c>
      <c r="F61" s="8">
        <v>2</v>
      </c>
      <c r="G61" s="8" t="s">
        <v>331</v>
      </c>
    </row>
    <row r="62" spans="1:11" ht="18" x14ac:dyDescent="0.25">
      <c r="A62" s="8">
        <v>57</v>
      </c>
      <c r="B62" s="51">
        <v>45989</v>
      </c>
      <c r="C62" s="55">
        <v>400</v>
      </c>
      <c r="E62" s="8" t="s">
        <v>218</v>
      </c>
      <c r="F62" s="8">
        <v>8</v>
      </c>
      <c r="G62" s="8" t="s">
        <v>333</v>
      </c>
    </row>
    <row r="63" spans="1:11" ht="18" x14ac:dyDescent="0.25">
      <c r="A63" s="8">
        <v>58</v>
      </c>
      <c r="B63" s="51">
        <v>45993</v>
      </c>
      <c r="C63" s="55">
        <v>200</v>
      </c>
      <c r="E63" s="8" t="s">
        <v>48</v>
      </c>
      <c r="F63" s="8">
        <v>7</v>
      </c>
      <c r="G63" s="8" t="s">
        <v>228</v>
      </c>
    </row>
    <row r="64" spans="1:11" ht="18" x14ac:dyDescent="0.25">
      <c r="A64" s="8">
        <v>59</v>
      </c>
      <c r="B64" s="51">
        <v>45993</v>
      </c>
      <c r="C64" s="55">
        <v>100</v>
      </c>
      <c r="D64" s="8"/>
      <c r="E64" s="8" t="s">
        <v>213</v>
      </c>
      <c r="F64" s="8">
        <v>4</v>
      </c>
      <c r="G64" s="8" t="s">
        <v>228</v>
      </c>
    </row>
    <row r="65" spans="1:7" ht="18" x14ac:dyDescent="0.25">
      <c r="A65" s="8">
        <v>60</v>
      </c>
      <c r="B65" s="51">
        <v>45993</v>
      </c>
      <c r="C65" s="55">
        <v>100</v>
      </c>
      <c r="D65" s="8"/>
      <c r="E65" s="8" t="s">
        <v>141</v>
      </c>
      <c r="F65" s="8">
        <v>3</v>
      </c>
      <c r="G65" s="8" t="s">
        <v>228</v>
      </c>
    </row>
    <row r="66" spans="1:7" ht="18" x14ac:dyDescent="0.25">
      <c r="A66" s="8">
        <v>61</v>
      </c>
      <c r="B66" s="51">
        <v>45992</v>
      </c>
      <c r="C66" s="55">
        <v>600</v>
      </c>
      <c r="D66" s="8"/>
      <c r="E66" s="8" t="s">
        <v>218</v>
      </c>
      <c r="F66" s="8">
        <v>8</v>
      </c>
      <c r="G66" s="8" t="s">
        <v>335</v>
      </c>
    </row>
    <row r="67" spans="1:7" ht="18" x14ac:dyDescent="0.25">
      <c r="A67" s="8">
        <v>62</v>
      </c>
      <c r="B67" s="51">
        <v>45995</v>
      </c>
      <c r="C67" s="55">
        <v>300</v>
      </c>
      <c r="D67" s="8"/>
      <c r="E67" s="8" t="s">
        <v>186</v>
      </c>
      <c r="F67" s="8">
        <v>1</v>
      </c>
      <c r="G67" s="8" t="s">
        <v>336</v>
      </c>
    </row>
    <row r="68" spans="1:7" ht="18" x14ac:dyDescent="0.25">
      <c r="A68" s="8">
        <v>63</v>
      </c>
      <c r="B68" s="51">
        <v>45994</v>
      </c>
      <c r="C68" s="55">
        <v>600</v>
      </c>
      <c r="D68" s="8"/>
      <c r="E68" s="8" t="s">
        <v>184</v>
      </c>
      <c r="F68" s="8">
        <v>9</v>
      </c>
      <c r="G68" s="8" t="s">
        <v>337</v>
      </c>
    </row>
    <row r="69" spans="1:7" ht="18" x14ac:dyDescent="0.25">
      <c r="A69" s="8">
        <v>64</v>
      </c>
      <c r="B69" s="51">
        <v>46006</v>
      </c>
      <c r="C69" s="55">
        <v>1000</v>
      </c>
      <c r="D69" s="8"/>
      <c r="E69" s="8" t="s">
        <v>269</v>
      </c>
      <c r="F69" s="8" t="s">
        <v>270</v>
      </c>
      <c r="G69" s="8" t="s">
        <v>340</v>
      </c>
    </row>
    <row r="70" spans="1:7" ht="18" x14ac:dyDescent="0.25">
      <c r="A70" s="8">
        <v>65</v>
      </c>
      <c r="B70" s="51">
        <v>46007</v>
      </c>
      <c r="C70" s="55">
        <v>1200</v>
      </c>
      <c r="D70" s="8"/>
      <c r="E70" s="8" t="s">
        <v>187</v>
      </c>
      <c r="F70" s="8">
        <v>11</v>
      </c>
      <c r="G70" s="8" t="s">
        <v>347</v>
      </c>
    </row>
    <row r="71" spans="1:7" ht="18" x14ac:dyDescent="0.25">
      <c r="A71" s="8">
        <v>66</v>
      </c>
      <c r="B71" s="51">
        <v>46009</v>
      </c>
      <c r="C71" s="55">
        <v>12000</v>
      </c>
      <c r="D71" s="8"/>
      <c r="E71" s="8" t="s">
        <v>268</v>
      </c>
      <c r="F71" s="8">
        <v>10</v>
      </c>
      <c r="G71" s="8" t="s">
        <v>355</v>
      </c>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N14" sqref="N14"/>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 min="6" max="14" width="9.125"/>
  </cols>
  <sheetData>
    <row r="2" spans="1:14" ht="26.25" x14ac:dyDescent="0.4">
      <c r="B2" s="98" t="s">
        <v>13</v>
      </c>
      <c r="C2" s="98"/>
      <c r="D2" s="98"/>
      <c r="E2" s="98"/>
      <c r="F2" s="98"/>
      <c r="G2" s="98"/>
      <c r="H2" s="98"/>
      <c r="I2" s="98"/>
      <c r="J2" s="98"/>
      <c r="K2" s="98"/>
      <c r="L2" s="98"/>
      <c r="M2" s="98"/>
      <c r="N2" s="98"/>
    </row>
    <row r="3" spans="1:14" ht="18" x14ac:dyDescent="0.25">
      <c r="B3" s="45" t="s">
        <v>212</v>
      </c>
      <c r="C3" s="67">
        <v>5603</v>
      </c>
    </row>
    <row r="4" spans="1:14" ht="54" x14ac:dyDescent="0.2">
      <c r="A4" s="12" t="s">
        <v>7</v>
      </c>
      <c r="B4" s="13"/>
      <c r="C4" s="14" t="s">
        <v>8</v>
      </c>
      <c r="D4" s="15" t="s">
        <v>14</v>
      </c>
      <c r="E4" s="17" t="s">
        <v>15</v>
      </c>
      <c r="F4" s="16"/>
      <c r="G4" s="16"/>
      <c r="H4" s="16"/>
      <c r="I4" s="16"/>
      <c r="J4" s="16"/>
    </row>
    <row r="5" spans="1:14" ht="18" x14ac:dyDescent="0.25">
      <c r="A5" s="8">
        <v>1</v>
      </c>
      <c r="B5" s="9"/>
      <c r="C5" s="70">
        <f>incomes!C4</f>
        <v>35080</v>
      </c>
      <c r="D5" s="71">
        <f>outcomes!C3</f>
        <v>26781</v>
      </c>
      <c r="E5" s="72">
        <f>(C3+C5)-D5</f>
        <v>13902</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abSelected="1" topLeftCell="A87" workbookViewId="0">
      <selection activeCell="G102" sqref="G102"/>
    </sheetView>
  </sheetViews>
  <sheetFormatPr defaultRowHeight="14.25" x14ac:dyDescent="0.2"/>
  <cols>
    <col min="1" max="1" width="7.625" style="66" customWidth="1"/>
    <col min="2" max="2" width="14.875" style="61" customWidth="1"/>
    <col min="3" max="3" width="9.25" style="56" bestFit="1" customWidth="1"/>
    <col min="4" max="4" width="9" style="3"/>
    <col min="5" max="14" width="9.125"/>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26781</v>
      </c>
    </row>
    <row r="4" spans="1:19" ht="36" x14ac:dyDescent="0.2">
      <c r="A4" s="4" t="s">
        <v>7</v>
      </c>
      <c r="B4" s="59" t="s">
        <v>1</v>
      </c>
      <c r="C4" s="54" t="s">
        <v>11</v>
      </c>
      <c r="D4" s="4" t="s">
        <v>4</v>
      </c>
      <c r="E4" s="5"/>
      <c r="F4" s="5"/>
      <c r="G4" s="5"/>
      <c r="H4" s="5"/>
      <c r="I4" s="5"/>
      <c r="J4" s="5"/>
      <c r="S4" t="s">
        <v>152</v>
      </c>
    </row>
    <row r="5" spans="1:19" ht="18" x14ac:dyDescent="0.25">
      <c r="A5" s="33">
        <v>1</v>
      </c>
      <c r="B5" s="60">
        <v>45665</v>
      </c>
      <c r="C5" s="55">
        <v>150</v>
      </c>
      <c r="D5" s="8" t="s">
        <v>215</v>
      </c>
      <c r="S5">
        <v>4</v>
      </c>
    </row>
    <row r="6" spans="1:19" ht="18" x14ac:dyDescent="0.25">
      <c r="A6" s="33">
        <v>2</v>
      </c>
      <c r="B6" s="60">
        <v>45667</v>
      </c>
      <c r="C6" s="55">
        <v>111</v>
      </c>
      <c r="D6" s="8" t="s">
        <v>217</v>
      </c>
      <c r="E6" s="2"/>
      <c r="F6" s="2"/>
      <c r="G6" s="2"/>
      <c r="H6" s="2"/>
      <c r="I6" s="2"/>
      <c r="J6" s="2"/>
      <c r="S6">
        <v>3</v>
      </c>
    </row>
    <row r="7" spans="1:19" ht="18" x14ac:dyDescent="0.25">
      <c r="A7" s="33">
        <v>3</v>
      </c>
      <c r="B7" s="60">
        <v>45667</v>
      </c>
      <c r="C7" s="55">
        <v>4</v>
      </c>
      <c r="D7" s="8" t="s">
        <v>216</v>
      </c>
      <c r="E7" s="2"/>
      <c r="F7" s="2"/>
      <c r="G7" s="2"/>
      <c r="H7" s="2"/>
      <c r="I7" s="2"/>
      <c r="J7" s="2"/>
      <c r="S7">
        <v>1</v>
      </c>
    </row>
    <row r="8" spans="1:19" ht="18" x14ac:dyDescent="0.25">
      <c r="A8" s="33">
        <v>4</v>
      </c>
      <c r="B8" s="60">
        <v>45686</v>
      </c>
      <c r="C8" s="55">
        <v>570</v>
      </c>
      <c r="D8" s="8" t="s">
        <v>229</v>
      </c>
      <c r="E8" s="2"/>
      <c r="F8" s="2"/>
      <c r="G8" s="2"/>
      <c r="H8" s="2"/>
      <c r="I8" s="2"/>
      <c r="J8" s="2"/>
      <c r="S8">
        <v>1</v>
      </c>
    </row>
    <row r="9" spans="1:19" ht="18" x14ac:dyDescent="0.25">
      <c r="A9" s="33">
        <v>5</v>
      </c>
      <c r="B9" s="60">
        <v>45686</v>
      </c>
      <c r="C9" s="55">
        <v>5</v>
      </c>
      <c r="D9" s="8" t="s">
        <v>230</v>
      </c>
      <c r="S9">
        <v>2</v>
      </c>
    </row>
    <row r="10" spans="1:19" ht="18" x14ac:dyDescent="0.25">
      <c r="A10" s="33">
        <v>6</v>
      </c>
      <c r="B10" s="60">
        <v>45672</v>
      </c>
      <c r="C10" s="55">
        <v>50</v>
      </c>
      <c r="D10" s="8" t="s">
        <v>231</v>
      </c>
      <c r="E10" s="2"/>
      <c r="F10" s="2"/>
      <c r="G10" s="2"/>
      <c r="H10" s="2"/>
      <c r="I10" s="2"/>
      <c r="J10" s="2"/>
      <c r="S10">
        <v>6</v>
      </c>
    </row>
    <row r="11" spans="1:19" ht="18" x14ac:dyDescent="0.25">
      <c r="A11" s="33">
        <v>7</v>
      </c>
      <c r="B11" s="60">
        <v>45688</v>
      </c>
      <c r="C11" s="55">
        <v>400</v>
      </c>
      <c r="D11" s="8" t="s">
        <v>232</v>
      </c>
      <c r="E11" s="2"/>
      <c r="F11" s="2"/>
      <c r="G11" s="2"/>
      <c r="H11" s="2"/>
      <c r="I11" s="2"/>
      <c r="J11" s="2"/>
      <c r="S11">
        <v>1</v>
      </c>
    </row>
    <row r="12" spans="1:19" ht="18" x14ac:dyDescent="0.25">
      <c r="A12" s="33">
        <v>8</v>
      </c>
      <c r="B12" s="60">
        <v>45698</v>
      </c>
      <c r="C12" s="55">
        <v>100</v>
      </c>
      <c r="D12" s="8" t="s">
        <v>233</v>
      </c>
      <c r="S12">
        <v>1</v>
      </c>
    </row>
    <row r="13" spans="1:19" ht="18" x14ac:dyDescent="0.25">
      <c r="A13" s="33">
        <v>9</v>
      </c>
      <c r="B13" s="60">
        <v>45699</v>
      </c>
      <c r="C13" s="55">
        <v>66</v>
      </c>
      <c r="D13" s="8" t="s">
        <v>259</v>
      </c>
      <c r="S13">
        <v>4</v>
      </c>
    </row>
    <row r="14" spans="1:19" ht="18" x14ac:dyDescent="0.25">
      <c r="A14" s="33">
        <v>10</v>
      </c>
      <c r="B14" s="60">
        <v>45699</v>
      </c>
      <c r="C14" s="55">
        <v>4</v>
      </c>
      <c r="D14" s="8" t="s">
        <v>216</v>
      </c>
      <c r="S14">
        <v>1</v>
      </c>
    </row>
    <row r="15" spans="1:19" ht="18" x14ac:dyDescent="0.25">
      <c r="A15" s="33">
        <v>11</v>
      </c>
      <c r="B15" s="60">
        <v>45699</v>
      </c>
      <c r="C15" s="55">
        <v>10</v>
      </c>
      <c r="D15" s="8" t="s">
        <v>234</v>
      </c>
      <c r="E15" s="2"/>
      <c r="F15" s="2"/>
      <c r="G15" s="2"/>
      <c r="H15" s="2"/>
      <c r="I15" s="2"/>
      <c r="J15" s="2"/>
      <c r="S15">
        <v>6</v>
      </c>
    </row>
    <row r="16" spans="1:19" ht="18" x14ac:dyDescent="0.25">
      <c r="A16" s="33">
        <v>12</v>
      </c>
      <c r="B16" s="60">
        <v>45706</v>
      </c>
      <c r="C16" s="55">
        <v>570</v>
      </c>
      <c r="D16" s="8" t="s">
        <v>229</v>
      </c>
      <c r="S16">
        <v>6</v>
      </c>
    </row>
    <row r="17" spans="1:19" ht="18" x14ac:dyDescent="0.25">
      <c r="A17" s="33">
        <v>13</v>
      </c>
      <c r="B17" s="60">
        <v>45706</v>
      </c>
      <c r="C17" s="55">
        <v>5</v>
      </c>
      <c r="D17" s="8" t="s">
        <v>230</v>
      </c>
      <c r="E17" s="2"/>
      <c r="F17" s="2"/>
      <c r="G17" s="2"/>
      <c r="H17" s="2"/>
      <c r="I17" s="2"/>
      <c r="J17" s="2"/>
      <c r="S17">
        <v>1</v>
      </c>
    </row>
    <row r="18" spans="1:19" ht="18" x14ac:dyDescent="0.25">
      <c r="A18" s="33">
        <v>14</v>
      </c>
      <c r="B18" s="60">
        <v>45716</v>
      </c>
      <c r="C18" s="55">
        <v>400</v>
      </c>
      <c r="D18" s="8" t="s">
        <v>244</v>
      </c>
      <c r="E18" s="2"/>
      <c r="F18" s="2"/>
      <c r="G18" s="2"/>
      <c r="H18" s="2"/>
      <c r="I18" s="2"/>
      <c r="J18" s="2"/>
      <c r="S18">
        <v>4</v>
      </c>
    </row>
    <row r="19" spans="1:19" ht="18" x14ac:dyDescent="0.25">
      <c r="A19" s="33">
        <v>15</v>
      </c>
      <c r="B19" s="60">
        <v>45723</v>
      </c>
      <c r="C19" s="55">
        <v>50</v>
      </c>
      <c r="D19" s="8" t="s">
        <v>246</v>
      </c>
      <c r="I19" s="2"/>
      <c r="J19" s="2"/>
      <c r="S19">
        <v>6</v>
      </c>
    </row>
    <row r="20" spans="1:19" ht="18" x14ac:dyDescent="0.25">
      <c r="A20" s="33">
        <v>16</v>
      </c>
      <c r="B20" s="60">
        <v>45724</v>
      </c>
      <c r="C20" s="55">
        <v>100</v>
      </c>
      <c r="D20" s="8" t="s">
        <v>247</v>
      </c>
      <c r="E20" s="2"/>
      <c r="F20" s="2"/>
      <c r="G20" s="2"/>
      <c r="H20" s="2"/>
      <c r="I20" s="2"/>
      <c r="J20" s="2"/>
      <c r="S20">
        <v>1</v>
      </c>
    </row>
    <row r="21" spans="1:19" ht="18" x14ac:dyDescent="0.25">
      <c r="A21" s="33">
        <v>17</v>
      </c>
      <c r="B21" s="60">
        <v>45733</v>
      </c>
      <c r="C21" s="55">
        <v>2450</v>
      </c>
      <c r="D21" s="8" t="s">
        <v>250</v>
      </c>
      <c r="E21" s="2"/>
      <c r="F21" s="2"/>
      <c r="G21" s="2"/>
      <c r="H21" s="2"/>
      <c r="I21" s="2"/>
      <c r="J21" s="2"/>
      <c r="S21">
        <v>1</v>
      </c>
    </row>
    <row r="22" spans="1:19" ht="18" x14ac:dyDescent="0.25">
      <c r="A22" s="33">
        <v>18</v>
      </c>
      <c r="B22" s="60">
        <v>45733</v>
      </c>
      <c r="C22" s="55">
        <v>45</v>
      </c>
      <c r="D22" s="8" t="s">
        <v>256</v>
      </c>
      <c r="E22" s="2"/>
      <c r="F22" s="2"/>
      <c r="G22" s="2"/>
      <c r="H22" s="2"/>
      <c r="I22" s="2"/>
      <c r="J22" s="2"/>
      <c r="S22">
        <v>4</v>
      </c>
    </row>
    <row r="23" spans="1:19" ht="18" x14ac:dyDescent="0.25">
      <c r="A23" s="33">
        <v>19</v>
      </c>
      <c r="B23" s="60">
        <v>45735</v>
      </c>
      <c r="C23" s="55">
        <v>570</v>
      </c>
      <c r="D23" s="8" t="s">
        <v>257</v>
      </c>
      <c r="E23" s="2"/>
      <c r="F23" s="2"/>
      <c r="G23" s="2"/>
      <c r="H23" s="2"/>
      <c r="I23" s="2"/>
      <c r="J23" s="2"/>
      <c r="S23">
        <v>4</v>
      </c>
    </row>
    <row r="24" spans="1:19" ht="18" x14ac:dyDescent="0.25">
      <c r="A24" s="33">
        <v>20</v>
      </c>
      <c r="B24" s="60">
        <v>45741</v>
      </c>
      <c r="C24" s="55">
        <v>61</v>
      </c>
      <c r="D24" s="8" t="s">
        <v>260</v>
      </c>
      <c r="E24" s="2"/>
      <c r="F24" s="2"/>
      <c r="G24" s="2"/>
      <c r="H24" s="2"/>
      <c r="I24" s="2"/>
      <c r="J24" s="2"/>
      <c r="S24">
        <v>1</v>
      </c>
    </row>
    <row r="25" spans="1:19" ht="18" x14ac:dyDescent="0.25">
      <c r="A25" s="33">
        <v>21</v>
      </c>
      <c r="B25" s="60">
        <v>45741</v>
      </c>
      <c r="C25" s="55">
        <v>10</v>
      </c>
      <c r="D25" s="8" t="s">
        <v>234</v>
      </c>
      <c r="E25" s="2"/>
      <c r="F25" s="2"/>
      <c r="G25" s="2"/>
      <c r="H25" s="2"/>
      <c r="I25" s="2"/>
      <c r="J25" s="2"/>
    </row>
    <row r="26" spans="1:19" ht="18" x14ac:dyDescent="0.25">
      <c r="A26" s="33">
        <v>22</v>
      </c>
      <c r="B26" s="60">
        <v>45743</v>
      </c>
      <c r="C26" s="55">
        <v>400</v>
      </c>
      <c r="D26" s="8" t="s">
        <v>261</v>
      </c>
      <c r="I26" s="2"/>
      <c r="J26" s="2"/>
    </row>
    <row r="27" spans="1:19" ht="18" x14ac:dyDescent="0.25">
      <c r="A27" s="33">
        <v>23</v>
      </c>
      <c r="B27" s="60">
        <v>45743</v>
      </c>
      <c r="C27" s="55">
        <v>60</v>
      </c>
      <c r="D27" s="8" t="s">
        <v>262</v>
      </c>
      <c r="E27" s="2"/>
      <c r="F27" s="2"/>
      <c r="G27" s="2"/>
      <c r="H27" s="2"/>
      <c r="I27" s="2"/>
      <c r="J27" s="2"/>
      <c r="S27">
        <v>6</v>
      </c>
    </row>
    <row r="28" spans="1:19" ht="18" x14ac:dyDescent="0.25">
      <c r="A28" s="33">
        <v>24</v>
      </c>
      <c r="B28" s="60">
        <v>45743</v>
      </c>
      <c r="C28" s="55">
        <v>40</v>
      </c>
      <c r="D28" s="8" t="s">
        <v>264</v>
      </c>
      <c r="E28" s="2"/>
      <c r="F28" s="2"/>
      <c r="G28" s="2"/>
      <c r="H28" s="2"/>
      <c r="I28" s="2"/>
      <c r="J28" s="2"/>
    </row>
    <row r="29" spans="1:19" ht="18" x14ac:dyDescent="0.25">
      <c r="A29" s="33">
        <v>25</v>
      </c>
      <c r="B29" s="60">
        <v>45755</v>
      </c>
      <c r="C29" s="55">
        <v>200</v>
      </c>
      <c r="D29" s="8" t="s">
        <v>265</v>
      </c>
      <c r="E29" s="2"/>
      <c r="F29" s="2"/>
      <c r="G29" s="2"/>
      <c r="H29" s="2"/>
      <c r="I29" s="2"/>
      <c r="J29" s="2"/>
    </row>
    <row r="30" spans="1:19" ht="18" x14ac:dyDescent="0.25">
      <c r="A30" s="33">
        <v>26</v>
      </c>
      <c r="B30" s="60">
        <v>45762</v>
      </c>
      <c r="C30" s="55">
        <v>136</v>
      </c>
      <c r="D30" s="8" t="s">
        <v>266</v>
      </c>
      <c r="E30" s="2"/>
      <c r="F30" s="2"/>
      <c r="G30" s="2"/>
      <c r="H30" s="2"/>
      <c r="I30" s="2"/>
      <c r="J30" s="2"/>
    </row>
    <row r="31" spans="1:19" ht="18" x14ac:dyDescent="0.25">
      <c r="A31" s="33">
        <v>27</v>
      </c>
      <c r="B31" s="60">
        <v>45762</v>
      </c>
      <c r="C31" s="55">
        <v>20</v>
      </c>
      <c r="D31" s="8" t="s">
        <v>234</v>
      </c>
      <c r="E31" s="2"/>
      <c r="F31" s="2"/>
      <c r="G31" s="2"/>
      <c r="H31" s="2"/>
      <c r="I31" s="2"/>
      <c r="J31" s="2"/>
    </row>
    <row r="32" spans="1:19" ht="18" x14ac:dyDescent="0.25">
      <c r="A32" s="33">
        <v>28</v>
      </c>
      <c r="B32" s="60">
        <v>45762</v>
      </c>
      <c r="C32" s="55">
        <v>570</v>
      </c>
      <c r="D32" s="8" t="s">
        <v>257</v>
      </c>
      <c r="E32" s="2"/>
      <c r="F32" s="2"/>
      <c r="G32" s="2"/>
      <c r="H32" s="2"/>
      <c r="I32" s="2"/>
      <c r="J32" s="2"/>
    </row>
    <row r="33" spans="1:20" ht="18" x14ac:dyDescent="0.25">
      <c r="A33" s="33">
        <v>29</v>
      </c>
      <c r="B33" s="60">
        <v>45772</v>
      </c>
      <c r="C33" s="55">
        <v>400</v>
      </c>
      <c r="D33" s="8" t="s">
        <v>284</v>
      </c>
      <c r="E33" s="2"/>
      <c r="F33" s="2"/>
      <c r="G33" s="2"/>
      <c r="H33" s="2"/>
      <c r="I33" s="2"/>
      <c r="J33" s="2"/>
      <c r="T33" t="s">
        <v>151</v>
      </c>
    </row>
    <row r="34" spans="1:20" ht="18" x14ac:dyDescent="0.25">
      <c r="A34" s="33">
        <v>30</v>
      </c>
      <c r="B34" s="60">
        <v>45771</v>
      </c>
      <c r="C34" s="55">
        <v>100</v>
      </c>
      <c r="D34" s="8" t="s">
        <v>247</v>
      </c>
      <c r="E34" s="2"/>
      <c r="F34" s="2"/>
      <c r="G34" s="2"/>
      <c r="H34" s="2"/>
      <c r="I34" s="2"/>
      <c r="J34" s="2"/>
    </row>
    <row r="35" spans="1:20" ht="18" x14ac:dyDescent="0.25">
      <c r="A35" s="33">
        <v>31</v>
      </c>
      <c r="B35" s="60">
        <v>45775</v>
      </c>
      <c r="C35" s="55">
        <v>20</v>
      </c>
      <c r="D35" s="8" t="s">
        <v>234</v>
      </c>
    </row>
    <row r="36" spans="1:20" ht="18" x14ac:dyDescent="0.25">
      <c r="A36" s="33">
        <v>32</v>
      </c>
      <c r="B36" s="60">
        <v>45789</v>
      </c>
      <c r="C36" s="55">
        <v>136</v>
      </c>
      <c r="D36" s="8" t="s">
        <v>273</v>
      </c>
    </row>
    <row r="37" spans="1:20" ht="18" x14ac:dyDescent="0.25">
      <c r="A37" s="33">
        <v>33</v>
      </c>
      <c r="B37" s="96">
        <v>45789</v>
      </c>
      <c r="C37" s="55">
        <v>20</v>
      </c>
      <c r="D37" s="8" t="s">
        <v>234</v>
      </c>
    </row>
    <row r="38" spans="1:20" ht="18" x14ac:dyDescent="0.25">
      <c r="A38" s="33">
        <v>34</v>
      </c>
      <c r="B38" s="60">
        <v>45802</v>
      </c>
      <c r="C38" s="55">
        <v>670</v>
      </c>
      <c r="D38" s="8" t="s">
        <v>274</v>
      </c>
    </row>
    <row r="39" spans="1:20" ht="18" x14ac:dyDescent="0.25">
      <c r="A39" s="33">
        <v>35</v>
      </c>
      <c r="B39" s="60">
        <v>45802</v>
      </c>
      <c r="C39" s="55">
        <v>40</v>
      </c>
      <c r="D39" s="8" t="s">
        <v>231</v>
      </c>
    </row>
    <row r="40" spans="1:20" ht="18" x14ac:dyDescent="0.25">
      <c r="A40" s="33">
        <v>36</v>
      </c>
      <c r="B40" s="60">
        <v>45806</v>
      </c>
      <c r="C40" s="55">
        <v>400</v>
      </c>
      <c r="D40" s="8" t="s">
        <v>275</v>
      </c>
      <c r="E40" s="2"/>
    </row>
    <row r="41" spans="1:20" ht="18" x14ac:dyDescent="0.25">
      <c r="A41" s="33">
        <v>37</v>
      </c>
      <c r="B41" s="60">
        <v>45829</v>
      </c>
      <c r="C41" s="55">
        <v>670</v>
      </c>
      <c r="D41" s="8" t="s">
        <v>278</v>
      </c>
    </row>
    <row r="42" spans="1:20" ht="18" x14ac:dyDescent="0.25">
      <c r="A42" s="33">
        <v>38</v>
      </c>
      <c r="B42" s="60">
        <v>45829</v>
      </c>
      <c r="C42" s="55">
        <v>5</v>
      </c>
      <c r="D42" s="8" t="s">
        <v>279</v>
      </c>
    </row>
    <row r="43" spans="1:20" ht="18" x14ac:dyDescent="0.25">
      <c r="A43" s="33">
        <v>39</v>
      </c>
      <c r="B43" s="60">
        <v>45829</v>
      </c>
      <c r="C43" s="55">
        <v>68</v>
      </c>
      <c r="D43" s="8" t="s">
        <v>280</v>
      </c>
    </row>
    <row r="44" spans="1:20" ht="18" x14ac:dyDescent="0.25">
      <c r="A44" s="33">
        <v>40</v>
      </c>
      <c r="B44" s="60">
        <v>45829</v>
      </c>
      <c r="C44" s="55">
        <v>10</v>
      </c>
      <c r="D44" s="8" t="s">
        <v>281</v>
      </c>
    </row>
    <row r="45" spans="1:20" ht="18" x14ac:dyDescent="0.25">
      <c r="A45" s="33">
        <v>41</v>
      </c>
      <c r="B45" s="60">
        <v>45829</v>
      </c>
      <c r="C45" s="55">
        <v>20</v>
      </c>
      <c r="D45" s="8" t="s">
        <v>234</v>
      </c>
    </row>
    <row r="46" spans="1:20" ht="18" x14ac:dyDescent="0.25">
      <c r="A46" s="33">
        <v>42</v>
      </c>
      <c r="B46" s="60">
        <v>45833</v>
      </c>
      <c r="C46" s="55">
        <v>400</v>
      </c>
      <c r="D46" s="8" t="s">
        <v>285</v>
      </c>
    </row>
    <row r="47" spans="1:20" ht="18" x14ac:dyDescent="0.25">
      <c r="A47" s="33">
        <v>43</v>
      </c>
      <c r="B47" s="60">
        <v>45853</v>
      </c>
      <c r="C47" s="55">
        <v>126</v>
      </c>
      <c r="D47" s="8" t="s">
        <v>288</v>
      </c>
    </row>
    <row r="48" spans="1:20" ht="18" x14ac:dyDescent="0.25">
      <c r="A48" s="33">
        <v>44</v>
      </c>
      <c r="B48" s="60">
        <v>45853</v>
      </c>
      <c r="C48" s="55">
        <v>20</v>
      </c>
      <c r="D48" s="8" t="s">
        <v>234</v>
      </c>
    </row>
    <row r="49" spans="1:4" ht="18" x14ac:dyDescent="0.25">
      <c r="A49" s="33">
        <v>45</v>
      </c>
      <c r="B49" s="60">
        <v>45858</v>
      </c>
      <c r="C49" s="55">
        <v>680</v>
      </c>
      <c r="D49" s="8" t="s">
        <v>289</v>
      </c>
    </row>
    <row r="50" spans="1:4" ht="18" x14ac:dyDescent="0.25">
      <c r="A50" s="33">
        <v>46</v>
      </c>
      <c r="B50" s="60">
        <v>45858</v>
      </c>
      <c r="C50" s="55">
        <v>5</v>
      </c>
      <c r="D50" s="8" t="s">
        <v>279</v>
      </c>
    </row>
    <row r="51" spans="1:4" ht="18" x14ac:dyDescent="0.25">
      <c r="A51" s="33">
        <v>47</v>
      </c>
      <c r="B51" s="60">
        <v>45861</v>
      </c>
      <c r="C51" s="55">
        <v>130</v>
      </c>
      <c r="D51" s="8" t="s">
        <v>247</v>
      </c>
    </row>
    <row r="52" spans="1:4" ht="18" x14ac:dyDescent="0.25">
      <c r="A52" s="33">
        <v>48</v>
      </c>
      <c r="B52" s="60">
        <v>45871</v>
      </c>
      <c r="C52" s="55">
        <v>400</v>
      </c>
      <c r="D52" s="8" t="s">
        <v>295</v>
      </c>
    </row>
    <row r="53" spans="1:4" ht="18" x14ac:dyDescent="0.25">
      <c r="A53" s="33">
        <v>49</v>
      </c>
      <c r="B53" s="60">
        <v>45871</v>
      </c>
      <c r="C53" s="55">
        <v>100</v>
      </c>
      <c r="D53" s="8" t="s">
        <v>294</v>
      </c>
    </row>
    <row r="54" spans="1:4" ht="18" x14ac:dyDescent="0.25">
      <c r="A54" s="33">
        <v>50</v>
      </c>
      <c r="B54" s="60">
        <v>45871</v>
      </c>
      <c r="C54" s="55">
        <v>20</v>
      </c>
      <c r="D54" s="8" t="s">
        <v>234</v>
      </c>
    </row>
    <row r="55" spans="1:4" ht="18" x14ac:dyDescent="0.25">
      <c r="A55" s="33">
        <v>51</v>
      </c>
      <c r="B55" s="60">
        <v>45882</v>
      </c>
      <c r="C55" s="55">
        <v>125</v>
      </c>
      <c r="D55" s="8" t="s">
        <v>306</v>
      </c>
    </row>
    <row r="56" spans="1:4" ht="18" x14ac:dyDescent="0.25">
      <c r="A56" s="33">
        <v>52</v>
      </c>
      <c r="B56" s="60">
        <v>45882</v>
      </c>
      <c r="C56" s="55">
        <v>5</v>
      </c>
      <c r="D56" s="8" t="s">
        <v>279</v>
      </c>
    </row>
    <row r="57" spans="1:4" ht="18" x14ac:dyDescent="0.25">
      <c r="A57" s="33">
        <v>53</v>
      </c>
      <c r="B57" s="60">
        <v>45882</v>
      </c>
      <c r="C57" s="55">
        <v>20</v>
      </c>
      <c r="D57" s="8" t="s">
        <v>234</v>
      </c>
    </row>
    <row r="58" spans="1:4" ht="18" x14ac:dyDescent="0.25">
      <c r="A58" s="33">
        <v>54</v>
      </c>
      <c r="B58" s="60">
        <v>45887</v>
      </c>
      <c r="C58" s="55">
        <v>670</v>
      </c>
      <c r="D58" s="8" t="s">
        <v>296</v>
      </c>
    </row>
    <row r="59" spans="1:4" ht="18" x14ac:dyDescent="0.25">
      <c r="A59" s="33">
        <v>55</v>
      </c>
      <c r="B59" s="60">
        <v>45887</v>
      </c>
      <c r="C59" s="55">
        <v>5</v>
      </c>
      <c r="D59" s="8" t="s">
        <v>279</v>
      </c>
    </row>
    <row r="60" spans="1:4" ht="18" x14ac:dyDescent="0.25">
      <c r="A60" s="33">
        <v>56</v>
      </c>
      <c r="B60" s="60">
        <v>45898</v>
      </c>
      <c r="C60" s="55">
        <v>25</v>
      </c>
      <c r="D60" s="8" t="s">
        <v>297</v>
      </c>
    </row>
    <row r="61" spans="1:4" ht="18" x14ac:dyDescent="0.25">
      <c r="A61" s="33">
        <v>57</v>
      </c>
      <c r="B61" s="60">
        <v>45899</v>
      </c>
      <c r="C61" s="55">
        <v>25</v>
      </c>
      <c r="D61" s="8" t="s">
        <v>298</v>
      </c>
    </row>
    <row r="62" spans="1:4" ht="18" x14ac:dyDescent="0.25">
      <c r="A62" s="33">
        <v>58</v>
      </c>
      <c r="B62" s="60">
        <v>45899</v>
      </c>
      <c r="C62" s="55">
        <v>400</v>
      </c>
      <c r="D62" s="8" t="s">
        <v>299</v>
      </c>
    </row>
    <row r="63" spans="1:4" ht="18" x14ac:dyDescent="0.25">
      <c r="A63" s="33">
        <v>59</v>
      </c>
      <c r="B63" s="60">
        <v>45899</v>
      </c>
      <c r="C63" s="55">
        <v>10</v>
      </c>
      <c r="D63" s="8" t="s">
        <v>300</v>
      </c>
    </row>
    <row r="64" spans="1:4" ht="18" x14ac:dyDescent="0.25">
      <c r="A64" s="33">
        <v>60</v>
      </c>
      <c r="B64" s="60">
        <v>45899</v>
      </c>
      <c r="C64" s="55">
        <v>15</v>
      </c>
      <c r="D64" s="8" t="s">
        <v>301</v>
      </c>
    </row>
    <row r="65" spans="1:4" ht="18" x14ac:dyDescent="0.25">
      <c r="A65" s="33">
        <v>61</v>
      </c>
      <c r="B65" s="60">
        <v>45920</v>
      </c>
      <c r="C65" s="55">
        <v>150</v>
      </c>
      <c r="D65" s="8" t="s">
        <v>302</v>
      </c>
    </row>
    <row r="66" spans="1:4" ht="18" x14ac:dyDescent="0.25">
      <c r="A66" s="33">
        <v>62</v>
      </c>
      <c r="B66" s="60">
        <v>45920</v>
      </c>
      <c r="C66" s="55">
        <v>50</v>
      </c>
      <c r="D66" s="8" t="s">
        <v>304</v>
      </c>
    </row>
    <row r="67" spans="1:4" ht="18" x14ac:dyDescent="0.25">
      <c r="A67" s="33">
        <v>63</v>
      </c>
      <c r="B67" s="60">
        <v>45920</v>
      </c>
      <c r="C67" s="55">
        <v>20</v>
      </c>
      <c r="D67" s="8" t="s">
        <v>303</v>
      </c>
    </row>
    <row r="68" spans="1:4" ht="18" x14ac:dyDescent="0.25">
      <c r="A68" s="33">
        <v>64</v>
      </c>
      <c r="B68" s="60">
        <v>45922</v>
      </c>
      <c r="C68" s="55">
        <v>111</v>
      </c>
      <c r="D68" s="8" t="s">
        <v>305</v>
      </c>
    </row>
    <row r="69" spans="1:4" ht="18" x14ac:dyDescent="0.25">
      <c r="A69" s="33">
        <v>65</v>
      </c>
      <c r="B69" s="60">
        <v>45923</v>
      </c>
      <c r="C69" s="55">
        <v>670</v>
      </c>
      <c r="D69" s="8" t="s">
        <v>308</v>
      </c>
    </row>
    <row r="70" spans="1:4" ht="18" x14ac:dyDescent="0.25">
      <c r="A70" s="33">
        <v>66</v>
      </c>
      <c r="B70" s="60">
        <v>45923</v>
      </c>
      <c r="C70" s="55">
        <v>5</v>
      </c>
      <c r="D70" s="8" t="s">
        <v>279</v>
      </c>
    </row>
    <row r="71" spans="1:4" ht="18" x14ac:dyDescent="0.25">
      <c r="A71" s="33">
        <v>67</v>
      </c>
      <c r="B71" s="60">
        <v>45932</v>
      </c>
      <c r="C71" s="55">
        <v>400</v>
      </c>
      <c r="D71" s="8" t="s">
        <v>310</v>
      </c>
    </row>
    <row r="72" spans="1:4" ht="18" x14ac:dyDescent="0.25">
      <c r="A72" s="33">
        <v>68</v>
      </c>
      <c r="B72" s="60">
        <v>45932</v>
      </c>
      <c r="C72" s="55">
        <v>45</v>
      </c>
      <c r="D72" s="8" t="s">
        <v>309</v>
      </c>
    </row>
    <row r="73" spans="1:4" ht="18" x14ac:dyDescent="0.25">
      <c r="A73" s="33">
        <v>69</v>
      </c>
      <c r="B73" s="60">
        <v>45951</v>
      </c>
      <c r="C73" s="55">
        <v>830</v>
      </c>
      <c r="D73" s="8" t="s">
        <v>314</v>
      </c>
    </row>
    <row r="74" spans="1:4" ht="18" x14ac:dyDescent="0.25">
      <c r="A74" s="33">
        <v>70</v>
      </c>
      <c r="B74" s="60">
        <v>45952</v>
      </c>
      <c r="C74" s="55">
        <v>400</v>
      </c>
      <c r="D74" s="8" t="s">
        <v>315</v>
      </c>
    </row>
    <row r="75" spans="1:4" ht="18" x14ac:dyDescent="0.25">
      <c r="A75" s="33">
        <v>71</v>
      </c>
      <c r="B75" s="60">
        <v>45952</v>
      </c>
      <c r="C75" s="55">
        <v>323</v>
      </c>
      <c r="D75" s="8" t="s">
        <v>316</v>
      </c>
    </row>
    <row r="76" spans="1:4" ht="18" x14ac:dyDescent="0.25">
      <c r="A76" s="33">
        <v>72</v>
      </c>
      <c r="B76" s="60">
        <v>45952</v>
      </c>
      <c r="C76" s="55">
        <v>4</v>
      </c>
      <c r="D76" s="8" t="s">
        <v>281</v>
      </c>
    </row>
    <row r="77" spans="1:4" ht="18" x14ac:dyDescent="0.25">
      <c r="A77" s="33">
        <v>73</v>
      </c>
      <c r="B77" s="60">
        <v>45952</v>
      </c>
      <c r="C77" s="55">
        <v>20</v>
      </c>
      <c r="D77" s="8" t="s">
        <v>234</v>
      </c>
    </row>
    <row r="78" spans="1:4" ht="18" x14ac:dyDescent="0.25">
      <c r="A78" s="33">
        <v>74</v>
      </c>
      <c r="B78" s="60">
        <v>45952</v>
      </c>
      <c r="C78" s="55">
        <v>20</v>
      </c>
      <c r="D78" s="8" t="s">
        <v>317</v>
      </c>
    </row>
    <row r="79" spans="1:4" ht="18" x14ac:dyDescent="0.25">
      <c r="A79" s="33">
        <v>75</v>
      </c>
      <c r="B79" s="60">
        <v>45958</v>
      </c>
      <c r="C79" s="55">
        <v>1150</v>
      </c>
      <c r="D79" s="8" t="s">
        <v>318</v>
      </c>
    </row>
    <row r="80" spans="1:4" ht="18" x14ac:dyDescent="0.25">
      <c r="A80" s="33">
        <v>76</v>
      </c>
      <c r="B80" s="60">
        <v>45971</v>
      </c>
      <c r="C80" s="55">
        <v>150</v>
      </c>
      <c r="D80" s="8" t="s">
        <v>322</v>
      </c>
    </row>
    <row r="81" spans="1:4" ht="18" x14ac:dyDescent="0.25">
      <c r="A81" s="33">
        <v>77</v>
      </c>
      <c r="B81" s="60">
        <v>45971</v>
      </c>
      <c r="C81" s="55">
        <v>150</v>
      </c>
      <c r="D81" s="8" t="s">
        <v>321</v>
      </c>
    </row>
    <row r="82" spans="1:4" ht="18" x14ac:dyDescent="0.25">
      <c r="A82" s="33">
        <v>78</v>
      </c>
      <c r="B82" s="60" t="s">
        <v>324</v>
      </c>
      <c r="C82" s="97">
        <v>-70</v>
      </c>
      <c r="D82" s="8" t="s">
        <v>323</v>
      </c>
    </row>
    <row r="83" spans="1:4" ht="18" x14ac:dyDescent="0.25">
      <c r="A83" s="33">
        <v>79</v>
      </c>
      <c r="B83" s="60">
        <v>45884</v>
      </c>
      <c r="C83" s="55">
        <v>80</v>
      </c>
      <c r="D83" s="8" t="s">
        <v>325</v>
      </c>
    </row>
    <row r="84" spans="1:4" ht="18" x14ac:dyDescent="0.25">
      <c r="A84" s="33">
        <v>80</v>
      </c>
      <c r="B84" s="60">
        <v>45983</v>
      </c>
      <c r="C84" s="55">
        <v>849</v>
      </c>
      <c r="D84" s="8" t="s">
        <v>326</v>
      </c>
    </row>
    <row r="85" spans="1:4" ht="18" x14ac:dyDescent="0.25">
      <c r="A85" s="33">
        <v>81</v>
      </c>
      <c r="B85" s="60">
        <v>45983</v>
      </c>
      <c r="C85" s="55">
        <v>20</v>
      </c>
      <c r="D85" s="8" t="s">
        <v>234</v>
      </c>
    </row>
    <row r="86" spans="1:4" ht="18" x14ac:dyDescent="0.25">
      <c r="A86" s="33">
        <v>82</v>
      </c>
      <c r="B86" s="60">
        <v>45983</v>
      </c>
      <c r="C86" s="55">
        <v>5</v>
      </c>
      <c r="D86" s="8" t="s">
        <v>327</v>
      </c>
    </row>
    <row r="87" spans="1:4" ht="18" x14ac:dyDescent="0.25">
      <c r="A87" s="33">
        <v>83</v>
      </c>
      <c r="B87" s="60">
        <v>45983</v>
      </c>
      <c r="C87" s="55">
        <v>50</v>
      </c>
      <c r="D87" s="8" t="s">
        <v>329</v>
      </c>
    </row>
    <row r="88" spans="1:4" ht="18" x14ac:dyDescent="0.25">
      <c r="A88" s="33">
        <v>84</v>
      </c>
      <c r="B88" s="60">
        <v>45983</v>
      </c>
      <c r="C88" s="55">
        <v>150</v>
      </c>
      <c r="D88" s="8" t="s">
        <v>328</v>
      </c>
    </row>
    <row r="89" spans="1:4" ht="18" x14ac:dyDescent="0.25">
      <c r="A89" s="33">
        <v>85</v>
      </c>
      <c r="B89" s="60">
        <v>45985</v>
      </c>
      <c r="C89" s="55">
        <v>930</v>
      </c>
      <c r="D89" s="8" t="s">
        <v>338</v>
      </c>
    </row>
    <row r="90" spans="1:4" ht="18" x14ac:dyDescent="0.25">
      <c r="A90" s="33">
        <v>86</v>
      </c>
      <c r="B90" s="60">
        <v>45984</v>
      </c>
      <c r="C90" s="55">
        <v>100</v>
      </c>
      <c r="D90" s="8" t="s">
        <v>330</v>
      </c>
    </row>
    <row r="91" spans="1:4" ht="18" x14ac:dyDescent="0.25">
      <c r="A91" s="33">
        <v>87</v>
      </c>
      <c r="B91" s="60">
        <v>45992</v>
      </c>
      <c r="C91" s="55">
        <v>500</v>
      </c>
      <c r="D91" s="8" t="s">
        <v>334</v>
      </c>
    </row>
    <row r="92" spans="1:4" ht="18" x14ac:dyDescent="0.25">
      <c r="A92" s="33">
        <v>88</v>
      </c>
      <c r="B92" s="60">
        <v>46001</v>
      </c>
      <c r="C92" s="55">
        <v>930</v>
      </c>
      <c r="D92" s="8" t="s">
        <v>339</v>
      </c>
    </row>
    <row r="93" spans="1:4" ht="18" x14ac:dyDescent="0.25">
      <c r="A93" s="33">
        <v>89</v>
      </c>
      <c r="B93" s="60">
        <v>46005</v>
      </c>
      <c r="C93" s="55">
        <v>1400</v>
      </c>
      <c r="D93" s="8" t="s">
        <v>341</v>
      </c>
    </row>
    <row r="94" spans="1:4" ht="18" x14ac:dyDescent="0.25">
      <c r="A94" s="33">
        <v>90</v>
      </c>
      <c r="B94" s="60">
        <v>46006</v>
      </c>
      <c r="C94" s="55">
        <v>2500</v>
      </c>
      <c r="D94" s="8" t="s">
        <v>342</v>
      </c>
    </row>
    <row r="95" spans="1:4" ht="18" x14ac:dyDescent="0.25">
      <c r="A95" s="33">
        <v>91</v>
      </c>
      <c r="B95" s="60">
        <v>46006</v>
      </c>
      <c r="C95" s="55">
        <v>190</v>
      </c>
      <c r="D95" s="8" t="s">
        <v>343</v>
      </c>
    </row>
    <row r="96" spans="1:4" ht="18" x14ac:dyDescent="0.25">
      <c r="A96" s="33">
        <v>92</v>
      </c>
      <c r="B96" s="60">
        <v>46008</v>
      </c>
      <c r="C96" s="55">
        <v>1434</v>
      </c>
      <c r="D96" s="8" t="s">
        <v>344</v>
      </c>
    </row>
    <row r="97" spans="1:4" ht="18" x14ac:dyDescent="0.25">
      <c r="A97" s="33">
        <v>93</v>
      </c>
      <c r="B97" s="60">
        <v>46008</v>
      </c>
      <c r="C97" s="55">
        <v>18</v>
      </c>
      <c r="D97" s="8" t="s">
        <v>345</v>
      </c>
    </row>
    <row r="98" spans="1:4" ht="18" x14ac:dyDescent="0.25">
      <c r="A98" s="33">
        <v>94</v>
      </c>
      <c r="B98" s="60">
        <v>46008</v>
      </c>
      <c r="C98" s="97">
        <v>-100</v>
      </c>
      <c r="D98" s="8" t="s">
        <v>346</v>
      </c>
    </row>
    <row r="99" spans="1:4" ht="18" x14ac:dyDescent="0.25">
      <c r="A99" s="33">
        <v>95</v>
      </c>
      <c r="B99" s="60">
        <v>46011</v>
      </c>
      <c r="C99" s="55">
        <v>400</v>
      </c>
      <c r="D99" s="8" t="s">
        <v>356</v>
      </c>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351</v>
      </c>
      <c r="J6" t="s">
        <v>350</v>
      </c>
    </row>
    <row r="7" spans="8:11" x14ac:dyDescent="0.2">
      <c r="H7" t="s">
        <v>187</v>
      </c>
      <c r="I7">
        <v>1200</v>
      </c>
    </row>
    <row r="8" spans="8:11" x14ac:dyDescent="0.2">
      <c r="H8" t="s">
        <v>147</v>
      </c>
      <c r="J8">
        <v>1434</v>
      </c>
    </row>
    <row r="9" spans="8:11" x14ac:dyDescent="0.2">
      <c r="H9" t="s">
        <v>352</v>
      </c>
      <c r="J9">
        <v>18</v>
      </c>
    </row>
    <row r="11" spans="8:11" x14ac:dyDescent="0.2">
      <c r="H11" t="s">
        <v>353</v>
      </c>
      <c r="I11">
        <f>SUM(I7:I10)</f>
        <v>1200</v>
      </c>
      <c r="J11">
        <f>SUM(J7:J10)</f>
        <v>1452</v>
      </c>
    </row>
    <row r="12" spans="8:11" x14ac:dyDescent="0.2">
      <c r="H12" t="s">
        <v>354</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2026-02-15T11:36:18Z</dcterms:modified>
</cp:coreProperties>
</file>
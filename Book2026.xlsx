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F:\syana05012019\2024\"/>
    </mc:Choice>
  </mc:AlternateContent>
  <xr:revisionPtr revIDLastSave="0" documentId="13_ncr:1_{A0098B35-4E00-46DF-B772-0F143541A7F2}" xr6:coauthVersionLast="47" xr6:coauthVersionMax="47" xr10:uidLastSave="{00000000-0000-0000-0000-000000000000}"/>
  <bookViews>
    <workbookView xWindow="-120" yWindow="-120" windowWidth="20730" windowHeight="11160" tabRatio="947" firstSheet="13" activeTab="20" xr2:uid="{00000000-000D-0000-FFFF-FFFF00000000}"/>
  </bookViews>
  <sheets>
    <sheet name="monthly_elctricity" sheetId="28" r:id="rId1"/>
    <sheet name="payments01" sheetId="22" r:id="rId2"/>
    <sheet name="payments02" sheetId="31" r:id="rId3"/>
    <sheet name="electricity" sheetId="21" r:id="rId4"/>
    <sheet name="Monthly_payments" sheetId="23" r:id="rId5"/>
    <sheet name="payments" sheetId="20" r:id="rId6"/>
    <sheet name="Apartment14" sheetId="19" r:id="rId7"/>
    <sheet name="Apartment12" sheetId="17" r:id="rId8"/>
    <sheet name="Apartment13" sheetId="18" r:id="rId9"/>
    <sheet name="Apartment11" sheetId="16" r:id="rId10"/>
    <sheet name="Apartment10" sheetId="15" r:id="rId11"/>
    <sheet name="Apartment9" sheetId="14" r:id="rId12"/>
    <sheet name="Apartment8" sheetId="13" r:id="rId13"/>
    <sheet name="Apartment7" sheetId="12" r:id="rId14"/>
    <sheet name="Apartment6" sheetId="11" r:id="rId15"/>
    <sheet name="Apartment5" sheetId="10" r:id="rId16"/>
    <sheet name="Apartment4" sheetId="9" r:id="rId17"/>
    <sheet name="Apartment3" sheetId="8" r:id="rId18"/>
    <sheet name="Apartment2" sheetId="7" r:id="rId19"/>
    <sheet name="Apartment1" sheetId="6" r:id="rId20"/>
    <sheet name="incomes" sheetId="1" r:id="rId21"/>
    <sheet name="balance" sheetId="5" r:id="rId22"/>
    <sheet name="outcomes" sheetId="4" r:id="rId23"/>
    <sheet name="op_codes" sheetId="29" r:id="rId24"/>
    <sheet name="Sheet1" sheetId="30" r:id="rId25"/>
  </sheets>
  <definedNames>
    <definedName name="_xlnm._FilterDatabase" localSheetId="22" hidden="1">outcomes!$S$4:$T$59</definedName>
  </definedNames>
  <calcPr calcId="181029"/>
</workbook>
</file>

<file path=xl/calcChain.xml><?xml version="1.0" encoding="utf-8"?>
<calcChain xmlns="http://schemas.openxmlformats.org/spreadsheetml/2006/main">
  <c r="E10" i="20" l="1"/>
  <c r="J11" i="30"/>
  <c r="I11" i="30"/>
  <c r="E18" i="31"/>
  <c r="E17" i="31"/>
  <c r="E16" i="31"/>
  <c r="E15" i="31"/>
  <c r="E14" i="31"/>
  <c r="E13" i="31"/>
  <c r="E12" i="31"/>
  <c r="E11" i="31"/>
  <c r="E10" i="31"/>
  <c r="E9" i="31"/>
  <c r="E8" i="31"/>
  <c r="E7" i="31"/>
  <c r="E6" i="31"/>
  <c r="E5" i="31"/>
  <c r="F4" i="16"/>
  <c r="K4" i="28"/>
  <c r="D4" i="28"/>
  <c r="P16" i="23"/>
  <c r="P15" i="23"/>
  <c r="P14" i="23"/>
  <c r="P13" i="23"/>
  <c r="P12" i="23"/>
  <c r="P11" i="23"/>
  <c r="P10" i="23"/>
  <c r="P9" i="23"/>
  <c r="P8" i="23"/>
  <c r="P7" i="23"/>
  <c r="C7" i="23"/>
  <c r="G190" i="21"/>
  <c r="G189" i="21"/>
  <c r="G188" i="21"/>
  <c r="G184" i="21"/>
  <c r="G185" i="21"/>
  <c r="G186" i="21"/>
  <c r="G187" i="21"/>
  <c r="G183" i="21"/>
  <c r="G181" i="21"/>
  <c r="G182" i="21"/>
  <c r="G171" i="21"/>
  <c r="G172" i="21"/>
  <c r="G173" i="21"/>
  <c r="G174" i="21"/>
  <c r="G175" i="21"/>
  <c r="G176" i="21"/>
  <c r="G177" i="21"/>
  <c r="G178" i="21"/>
  <c r="G179" i="21"/>
  <c r="G180" i="21"/>
  <c r="G170" i="21"/>
  <c r="I26" i="18"/>
  <c r="Q12" i="14"/>
  <c r="Q14" i="14" s="1"/>
  <c r="I7" i="20"/>
  <c r="I8" i="20"/>
  <c r="I9" i="20"/>
  <c r="I10" i="20"/>
  <c r="I11" i="20"/>
  <c r="I12" i="20"/>
  <c r="I13" i="20"/>
  <c r="I14" i="20"/>
  <c r="I15" i="20"/>
  <c r="I16" i="20"/>
  <c r="I17" i="20"/>
  <c r="I18" i="20"/>
  <c r="I6" i="20"/>
  <c r="I5" i="20"/>
  <c r="G169" i="21"/>
  <c r="G168" i="21"/>
  <c r="G144" i="21"/>
  <c r="G145" i="21"/>
  <c r="G146" i="21"/>
  <c r="G147" i="21"/>
  <c r="G148" i="21"/>
  <c r="G149" i="21"/>
  <c r="G150" i="21"/>
  <c r="G151" i="21"/>
  <c r="G152" i="21"/>
  <c r="G153" i="21"/>
  <c r="G154" i="21"/>
  <c r="G155" i="21"/>
  <c r="G156" i="21"/>
  <c r="G157" i="21"/>
  <c r="G158" i="21"/>
  <c r="G159" i="21"/>
  <c r="G160" i="21"/>
  <c r="G161" i="21"/>
  <c r="G162" i="21"/>
  <c r="G163" i="21"/>
  <c r="G164" i="21"/>
  <c r="G165" i="21"/>
  <c r="G166" i="21"/>
  <c r="G167" i="21"/>
  <c r="G143" i="21"/>
  <c r="G142" i="21"/>
  <c r="G138" i="21"/>
  <c r="G139" i="21"/>
  <c r="G140" i="21"/>
  <c r="G141" i="21"/>
  <c r="G137" i="21"/>
  <c r="G135" i="21"/>
  <c r="G136" i="21"/>
  <c r="G133" i="21"/>
  <c r="G134" i="21"/>
  <c r="G125" i="21"/>
  <c r="G126" i="21"/>
  <c r="G127" i="21"/>
  <c r="G128" i="21"/>
  <c r="G129" i="21"/>
  <c r="G130" i="21"/>
  <c r="G131" i="21"/>
  <c r="G132" i="21"/>
  <c r="G124" i="21"/>
  <c r="G119" i="21"/>
  <c r="G120" i="21"/>
  <c r="G121" i="21"/>
  <c r="G122" i="21"/>
  <c r="G123" i="21"/>
  <c r="G118" i="21"/>
  <c r="G117" i="21"/>
  <c r="G116" i="21"/>
  <c r="G115" i="21"/>
  <c r="G111" i="21"/>
  <c r="G112" i="21"/>
  <c r="G113" i="21"/>
  <c r="G114" i="21"/>
  <c r="G106" i="21"/>
  <c r="G107" i="21"/>
  <c r="G108" i="21"/>
  <c r="G109" i="21"/>
  <c r="G110" i="21"/>
  <c r="G104" i="21"/>
  <c r="G105" i="21"/>
  <c r="G103" i="21"/>
  <c r="G101" i="21"/>
  <c r="G102" i="21"/>
  <c r="G99" i="21"/>
  <c r="G100" i="21"/>
  <c r="G98" i="21"/>
  <c r="G97" i="21"/>
  <c r="G96" i="21"/>
  <c r="G95" i="21"/>
  <c r="G94" i="21"/>
  <c r="G93" i="21"/>
  <c r="G92" i="21"/>
  <c r="G91" i="21"/>
  <c r="G90" i="21"/>
  <c r="G89" i="21"/>
  <c r="G88" i="21"/>
  <c r="G87" i="21"/>
  <c r="G86" i="21"/>
  <c r="G85" i="21"/>
  <c r="G84" i="21"/>
  <c r="G83" i="21"/>
  <c r="G82" i="21"/>
  <c r="G81" i="21"/>
  <c r="G80" i="21"/>
  <c r="G78" i="21"/>
  <c r="G79" i="21"/>
  <c r="G77" i="21"/>
  <c r="G75" i="21"/>
  <c r="G76" i="21"/>
  <c r="G74" i="21"/>
  <c r="G73" i="21"/>
  <c r="G71" i="21"/>
  <c r="G72" i="21"/>
  <c r="G70" i="21"/>
  <c r="G69" i="21"/>
  <c r="G68" i="21"/>
  <c r="G66" i="21"/>
  <c r="G67" i="21"/>
  <c r="G65" i="21"/>
  <c r="G64" i="21"/>
  <c r="G63" i="21"/>
  <c r="G62" i="21"/>
  <c r="G61" i="21"/>
  <c r="G60" i="21"/>
  <c r="G59" i="21"/>
  <c r="G58" i="21"/>
  <c r="G57" i="21"/>
  <c r="G56" i="21"/>
  <c r="G55" i="21"/>
  <c r="G52" i="21"/>
  <c r="G53" i="21"/>
  <c r="G54" i="21"/>
  <c r="G51" i="21"/>
  <c r="G50" i="21"/>
  <c r="G49" i="21"/>
  <c r="G48" i="21"/>
  <c r="G47" i="21"/>
  <c r="G46" i="21"/>
  <c r="G45" i="21"/>
  <c r="G44" i="21"/>
  <c r="G43" i="21"/>
  <c r="G42" i="21"/>
  <c r="G41" i="21"/>
  <c r="G40" i="21"/>
  <c r="G39" i="21"/>
  <c r="G38" i="21"/>
  <c r="G37" i="21"/>
  <c r="G36" i="21"/>
  <c r="G35" i="21"/>
  <c r="G34" i="21"/>
  <c r="G33" i="21"/>
  <c r="G32" i="21"/>
  <c r="G31" i="21"/>
  <c r="G30" i="21"/>
  <c r="G29" i="21"/>
  <c r="G28" i="21"/>
  <c r="G27" i="21"/>
  <c r="G26" i="21"/>
  <c r="G25" i="21"/>
  <c r="G24" i="21"/>
  <c r="G23" i="21"/>
  <c r="G22" i="21"/>
  <c r="G21" i="21"/>
  <c r="G20" i="21"/>
  <c r="G19" i="21"/>
  <c r="G18" i="21"/>
  <c r="G17" i="21"/>
  <c r="G16" i="21"/>
  <c r="G15" i="21"/>
  <c r="G14" i="21"/>
  <c r="G7" i="21"/>
  <c r="G8" i="21"/>
  <c r="G9" i="21"/>
  <c r="G10" i="21"/>
  <c r="G11" i="21"/>
  <c r="G12" i="21"/>
  <c r="G13" i="21"/>
  <c r="G6" i="21"/>
  <c r="P17" i="23"/>
  <c r="O7" i="23"/>
  <c r="O8" i="23"/>
  <c r="O9" i="23"/>
  <c r="O10" i="23"/>
  <c r="O11" i="23"/>
  <c r="O12" i="23"/>
  <c r="O13" i="23"/>
  <c r="O14" i="23"/>
  <c r="O15" i="23"/>
  <c r="O16" i="23"/>
  <c r="O17" i="23"/>
  <c r="N7" i="23"/>
  <c r="N8" i="23"/>
  <c r="N9" i="23"/>
  <c r="N10" i="23"/>
  <c r="N11" i="23"/>
  <c r="N12" i="23"/>
  <c r="N13" i="23"/>
  <c r="N14" i="23"/>
  <c r="N15" i="23"/>
  <c r="N16" i="23"/>
  <c r="N17" i="23"/>
  <c r="M7" i="23"/>
  <c r="M8" i="23"/>
  <c r="M9" i="23"/>
  <c r="M10" i="23"/>
  <c r="M11" i="23"/>
  <c r="M12" i="23"/>
  <c r="M13" i="23"/>
  <c r="M14" i="23"/>
  <c r="M15" i="23"/>
  <c r="M16" i="23"/>
  <c r="M17" i="23"/>
  <c r="L7" i="23"/>
  <c r="L8" i="23"/>
  <c r="L9" i="23"/>
  <c r="L10" i="23"/>
  <c r="L11" i="23"/>
  <c r="L12" i="23"/>
  <c r="L13" i="23"/>
  <c r="L14" i="23"/>
  <c r="L15" i="23"/>
  <c r="L16" i="23"/>
  <c r="L17" i="23"/>
  <c r="K7" i="23"/>
  <c r="K8" i="23"/>
  <c r="K9" i="23"/>
  <c r="K10" i="23"/>
  <c r="K11" i="23"/>
  <c r="K12" i="23"/>
  <c r="K13" i="23"/>
  <c r="K14" i="23"/>
  <c r="K15" i="23"/>
  <c r="K16" i="23"/>
  <c r="K17" i="23"/>
  <c r="J7" i="23"/>
  <c r="J8" i="23"/>
  <c r="J9" i="23"/>
  <c r="J10" i="23"/>
  <c r="J11" i="23"/>
  <c r="J12" i="23"/>
  <c r="J13" i="23"/>
  <c r="J14" i="23"/>
  <c r="J15" i="23"/>
  <c r="J16" i="23"/>
  <c r="J17" i="23"/>
  <c r="I7" i="23"/>
  <c r="I8" i="23"/>
  <c r="I9" i="23"/>
  <c r="I10" i="23"/>
  <c r="I11" i="23"/>
  <c r="I12" i="23"/>
  <c r="I13" i="23"/>
  <c r="I14" i="23"/>
  <c r="I15" i="23"/>
  <c r="I16" i="23"/>
  <c r="I17" i="23"/>
  <c r="H7" i="23"/>
  <c r="H8" i="23"/>
  <c r="H9" i="23"/>
  <c r="H10" i="23"/>
  <c r="H11" i="23"/>
  <c r="H12" i="23"/>
  <c r="H13" i="23"/>
  <c r="H14" i="23"/>
  <c r="H15" i="23"/>
  <c r="H16" i="23"/>
  <c r="H17" i="23"/>
  <c r="G7" i="23"/>
  <c r="G8" i="23"/>
  <c r="G9" i="23"/>
  <c r="G10" i="23"/>
  <c r="G11" i="23"/>
  <c r="G12" i="23"/>
  <c r="G13" i="23"/>
  <c r="G14" i="23"/>
  <c r="G15" i="23"/>
  <c r="G16" i="23"/>
  <c r="G17" i="23"/>
  <c r="F7" i="23"/>
  <c r="F8" i="23"/>
  <c r="F9" i="23"/>
  <c r="F10" i="23"/>
  <c r="F11" i="23"/>
  <c r="F12" i="23"/>
  <c r="F13" i="23"/>
  <c r="F14" i="23"/>
  <c r="F15" i="23"/>
  <c r="F16" i="23"/>
  <c r="F17" i="23"/>
  <c r="P6" i="23"/>
  <c r="O6" i="23"/>
  <c r="N6" i="23"/>
  <c r="M6" i="23"/>
  <c r="L6" i="23"/>
  <c r="K6" i="23"/>
  <c r="J6" i="23"/>
  <c r="I6" i="23"/>
  <c r="H6" i="23"/>
  <c r="G6" i="23"/>
  <c r="F6" i="23"/>
  <c r="E7" i="23"/>
  <c r="E8" i="23"/>
  <c r="E9" i="23"/>
  <c r="E10" i="23"/>
  <c r="E11" i="23"/>
  <c r="E12" i="23"/>
  <c r="E13" i="23"/>
  <c r="E14" i="23"/>
  <c r="E15" i="23"/>
  <c r="E16" i="23"/>
  <c r="E17" i="23"/>
  <c r="E6" i="23"/>
  <c r="D7" i="23"/>
  <c r="D8" i="23"/>
  <c r="D9" i="23"/>
  <c r="D10" i="23"/>
  <c r="D11" i="23"/>
  <c r="D12" i="23"/>
  <c r="D13" i="23"/>
  <c r="D14" i="23"/>
  <c r="D15" i="23"/>
  <c r="D16" i="23"/>
  <c r="D17" i="23"/>
  <c r="D6" i="23"/>
  <c r="C8" i="23"/>
  <c r="C9" i="23"/>
  <c r="C10" i="23"/>
  <c r="C11" i="23"/>
  <c r="C12" i="23"/>
  <c r="C13" i="23"/>
  <c r="C14" i="23"/>
  <c r="C15" i="23"/>
  <c r="C16" i="23"/>
  <c r="C17" i="23"/>
  <c r="C6" i="23"/>
  <c r="E18" i="22"/>
  <c r="E17" i="22"/>
  <c r="E16" i="22"/>
  <c r="E15" i="22"/>
  <c r="E14" i="22"/>
  <c r="E13" i="22"/>
  <c r="E12" i="22"/>
  <c r="E11" i="22"/>
  <c r="E9" i="22"/>
  <c r="E8" i="22"/>
  <c r="E7" i="22"/>
  <c r="E6" i="22"/>
  <c r="H5" i="21"/>
  <c r="I5" i="21"/>
  <c r="F4" i="19"/>
  <c r="D4" i="19"/>
  <c r="C18" i="20" s="1"/>
  <c r="F4" i="18"/>
  <c r="D4" i="18"/>
  <c r="C17" i="20" s="1"/>
  <c r="F4" i="17"/>
  <c r="D4" i="17"/>
  <c r="D4" i="16"/>
  <c r="C15" i="20" s="1"/>
  <c r="F4" i="15"/>
  <c r="D4" i="15"/>
  <c r="F4" i="14"/>
  <c r="D4" i="14"/>
  <c r="C13" i="20" s="1"/>
  <c r="F4" i="13"/>
  <c r="D4" i="13"/>
  <c r="C12" i="20" s="1"/>
  <c r="F4" i="12"/>
  <c r="D4" i="12"/>
  <c r="C11" i="20" s="1"/>
  <c r="F4" i="11"/>
  <c r="D4" i="11"/>
  <c r="F4" i="10"/>
  <c r="D4" i="10"/>
  <c r="C9" i="20" s="1"/>
  <c r="F4" i="9"/>
  <c r="D4" i="9"/>
  <c r="C8" i="20" s="1"/>
  <c r="F4" i="8"/>
  <c r="D4" i="8"/>
  <c r="C7" i="20" s="1"/>
  <c r="F4" i="7"/>
  <c r="D4" i="7"/>
  <c r="C6" i="20" s="1"/>
  <c r="F4" i="6"/>
  <c r="D4" i="6"/>
  <c r="C5" i="20" s="1"/>
  <c r="E5" i="20" s="1"/>
  <c r="C3" i="4"/>
  <c r="D5" i="5" s="1"/>
  <c r="C4" i="1"/>
  <c r="C5" i="5" s="1"/>
  <c r="K12" i="30" l="1"/>
  <c r="E15" i="20"/>
  <c r="E6" i="20"/>
  <c r="E9" i="20"/>
  <c r="E12" i="20"/>
  <c r="E11" i="20"/>
  <c r="E7" i="20"/>
  <c r="E16" i="20"/>
  <c r="E14" i="20"/>
  <c r="E5" i="5"/>
  <c r="E13" i="20"/>
  <c r="E8" i="20"/>
  <c r="J5" i="21"/>
  <c r="K5" i="21" s="1"/>
  <c r="E18" i="20"/>
  <c r="E17" i="20"/>
  <c r="E5" i="22"/>
  <c r="E10" i="22"/>
</calcChain>
</file>

<file path=xl/sharedStrings.xml><?xml version="1.0" encoding="utf-8"?>
<sst xmlns="http://schemas.openxmlformats.org/spreadsheetml/2006/main" count="912" uniqueCount="321">
  <si>
    <t>صفحة الإيرادات</t>
  </si>
  <si>
    <t>بتاريخ</t>
  </si>
  <si>
    <t>تم استلام مبلغ</t>
  </si>
  <si>
    <t>لشقة رقم</t>
  </si>
  <si>
    <t>البيان</t>
  </si>
  <si>
    <t>كود المالك</t>
  </si>
  <si>
    <t>اسم المالك</t>
  </si>
  <si>
    <t>م</t>
  </si>
  <si>
    <t>إجمالى الايرادات</t>
  </si>
  <si>
    <t>إجمالى الايرادات:</t>
  </si>
  <si>
    <t>صفحة المصروفات</t>
  </si>
  <si>
    <t>تم دفـــع مبلغ</t>
  </si>
  <si>
    <t>إجمالى المصروفات:</t>
  </si>
  <si>
    <t>صفحة الرصيد</t>
  </si>
  <si>
    <t>إجمالى المصروفات</t>
  </si>
  <si>
    <t>الرصيد</t>
  </si>
  <si>
    <t>صفحة شقة رقم 1 - عمرو نبيل</t>
  </si>
  <si>
    <t>شهر</t>
  </si>
  <si>
    <t>إجمالى المبلغ المطلوب</t>
  </si>
  <si>
    <t>مطلوب مبلغ</t>
  </si>
  <si>
    <t>صفحة شقة رقم 12 - عبد المجيد</t>
  </si>
  <si>
    <t>صفحة شقة رقم 14 - عمرو تعلب</t>
  </si>
  <si>
    <t>صفحة شقة رقم 11 - إيمان محمد على</t>
  </si>
  <si>
    <t>صفحة شقة رقم 10 - الحاج/حسين</t>
  </si>
  <si>
    <t>صفحة شقة رقم 9 - م/سعد عنان</t>
  </si>
  <si>
    <t>صفحة شقة رقم 7 - وائل محمد على</t>
  </si>
  <si>
    <t>صفحة شقة رقم 6 - الحاج/حسين</t>
  </si>
  <si>
    <t>صفحة شقة رقم 3 - وائل محمد على (محمد ناجى)</t>
  </si>
  <si>
    <t>صفحة شقة رقم 4 - وائل محمد على - م/عمرو</t>
  </si>
  <si>
    <t>صفحة شقة رقم 2 - عزة عنان</t>
  </si>
  <si>
    <t>إجمالى المدفوعات</t>
  </si>
  <si>
    <t>إجمالى المطلوب</t>
  </si>
  <si>
    <t>الباقى</t>
  </si>
  <si>
    <t>شقة رقم</t>
  </si>
  <si>
    <t>تاريخ</t>
  </si>
  <si>
    <t>قراءة العداد</t>
  </si>
  <si>
    <t>صفحة قراءة عداد الكهرباء</t>
  </si>
  <si>
    <t>مبلغ</t>
  </si>
  <si>
    <t>أول قراءة لعداد الكهرباء</t>
  </si>
  <si>
    <t>آخر قراءة لعداد الكهرباء</t>
  </si>
  <si>
    <t>الإستهلاك من الكهرباء</t>
  </si>
  <si>
    <t>مبلغ الفاتوة حسب الشرائح</t>
  </si>
  <si>
    <t>رقم الشريحة</t>
  </si>
  <si>
    <t>قيمة الشريحة</t>
  </si>
  <si>
    <t>خدمة عملاء</t>
  </si>
  <si>
    <t>نهاية الشريحة</t>
  </si>
  <si>
    <t>موحد</t>
  </si>
  <si>
    <t>متابعة مدفوعات كل شقة فيما يخص مبلغ الصيانة الشهرية فقط</t>
  </si>
  <si>
    <t>وائل محمد على</t>
  </si>
  <si>
    <t>المالك</t>
  </si>
  <si>
    <t>عمرو نبيل</t>
  </si>
  <si>
    <t>عزة عنان</t>
  </si>
  <si>
    <t>الحاج / حسين عثمان</t>
  </si>
  <si>
    <t>م/ سعد عنان</t>
  </si>
  <si>
    <t>ايمان محمد على</t>
  </si>
  <si>
    <t>أ/ عبد المجيد</t>
  </si>
  <si>
    <t>ا/ محمد التعلب</t>
  </si>
  <si>
    <t>عمروالتعلب</t>
  </si>
  <si>
    <t>شقة 1</t>
  </si>
  <si>
    <t>شقة 2</t>
  </si>
  <si>
    <t>شقة 3</t>
  </si>
  <si>
    <t>شقة 4</t>
  </si>
  <si>
    <t>شقة 5</t>
  </si>
  <si>
    <t>شقة 6</t>
  </si>
  <si>
    <t>شقة 7</t>
  </si>
  <si>
    <t>شقة 8</t>
  </si>
  <si>
    <t>شقة 9</t>
  </si>
  <si>
    <t>شقة 10</t>
  </si>
  <si>
    <t>شقة 11</t>
  </si>
  <si>
    <t>شقة 12</t>
  </si>
  <si>
    <t>شقة 13</t>
  </si>
  <si>
    <t>شقة 14</t>
  </si>
  <si>
    <t>معدل استهلاك الكهرباء كيلووات/يوم</t>
  </si>
  <si>
    <t>قراءة تبليغ يوم 20 لشهر</t>
  </si>
  <si>
    <t>معدل استهلاك من قراءة لاخرى</t>
  </si>
  <si>
    <t>اسباب ارتفاع الاستهلاك</t>
  </si>
  <si>
    <t>ماسورة مياة مضروبة عند الجامعة والموتور يعمل على الفاضى</t>
  </si>
  <si>
    <t>بيان</t>
  </si>
  <si>
    <t>إجمالى</t>
  </si>
  <si>
    <t>اليوم</t>
  </si>
  <si>
    <t>السبت</t>
  </si>
  <si>
    <t>الاربعاء</t>
  </si>
  <si>
    <t>الإثنين</t>
  </si>
  <si>
    <t>الثلاثاء</t>
  </si>
  <si>
    <t>الاحد</t>
  </si>
  <si>
    <t>الجمعة</t>
  </si>
  <si>
    <t>الأربعاء</t>
  </si>
  <si>
    <t>الخميس</t>
  </si>
  <si>
    <t>الاثنين</t>
  </si>
  <si>
    <t>الاجد</t>
  </si>
  <si>
    <t>الأحد</t>
  </si>
  <si>
    <t>بداية استخدام البالونة كالبيدا 24 لتر واستخدام نظام المفاتيح الكهربائية الاربعة للتحكم فى تشغيل الموتور واغلاقه</t>
  </si>
  <si>
    <t>تم اصلاح وتغيير القطعة البايزة باخرى وثمنها 100 جنيه جابها هادى</t>
  </si>
  <si>
    <t>مشكلة  قطعة الكندنسر يعنى المكثف اللى فوق جسم الموتور وكانت سخنة جدا والموتور سخن جدا ايضا وادى ذلك الى ضغف المياه خالص وكان لونه اصفر من ناحية الاربع رجول المعدن بتاعته دليل انه بايز (المكثف نوعه MLR25PRL 454005091 MK SH ICAR italy Ecofill 40 micro faraday UF</t>
  </si>
  <si>
    <t>صيانات فجائية (طارئة)</t>
  </si>
  <si>
    <t>المبلغ</t>
  </si>
  <si>
    <t>جنيه</t>
  </si>
  <si>
    <t>حساب شقة 9 فيما يخص من شهر 1حتى شهر 12 /2020 بالاضافة الى حصة الشقة من حسابات أخرى</t>
  </si>
  <si>
    <t>المطلوب</t>
  </si>
  <si>
    <t>تحت حساب صيانة شهر 2</t>
  </si>
  <si>
    <t>تحت حساب صيانة شهر 3</t>
  </si>
  <si>
    <t>تحت حساب صيانة شهر 4</t>
  </si>
  <si>
    <t>تحت حساب صيانة شهر 5</t>
  </si>
  <si>
    <t>تحت حساب صيانة شهر 6</t>
  </si>
  <si>
    <t>تحت حساب صيانة شهر 7</t>
  </si>
  <si>
    <t>تحت حساب صيانة شهر 8</t>
  </si>
  <si>
    <t>تحت حساب صيانة شهر 9</t>
  </si>
  <si>
    <t>تحت حساب صيانة شهر 10</t>
  </si>
  <si>
    <t>تحت حساب صيانة شهر 11</t>
  </si>
  <si>
    <t>تحت حساب صيانة شهر 12</t>
  </si>
  <si>
    <t>تحت حساب صيانة شهر يناير</t>
  </si>
  <si>
    <t>تحت حساب صيانة شهر فبراير</t>
  </si>
  <si>
    <t>تحت حساب الصيانة لشهر يناير</t>
  </si>
  <si>
    <t>تحت حساب الصيانة لشهر فبراير</t>
  </si>
  <si>
    <t>صفحة شقة رقم 13 - منال مصطفى</t>
  </si>
  <si>
    <t>صفحة شقة رقم 8 - مصطفى</t>
  </si>
  <si>
    <t>صفحة شقة رقم 5 - رندة سابقا (الحاج/ ماكى)</t>
  </si>
  <si>
    <t>صفحة حساب كهرباء السلم ومياه العمارة</t>
  </si>
  <si>
    <t>حساب شقة 13 ، 14 من شهر11 حتى شهر 12</t>
  </si>
  <si>
    <t>الحاج / مكى</t>
  </si>
  <si>
    <t>ا.مصطفى</t>
  </si>
  <si>
    <t>تحت حساب فاتورة الكهرباء عن شهر يناير / 2023</t>
  </si>
  <si>
    <t xml:space="preserve">تحت حساب فاتورة المياه عن شهر يناير  /2023 </t>
  </si>
  <si>
    <t>تحت حساب فاتورة الكهرباء عن شهر فبراير /2023</t>
  </si>
  <si>
    <t xml:space="preserve">تحت حساب فاتورة المياه عن شهر فبراير  /2023 </t>
  </si>
  <si>
    <t>تحت حساب فاتورة الكهرباء عن شهر مارس /2023</t>
  </si>
  <si>
    <t>تحت حساب فاتورة الكهرباء عن شهر ابريل /2023</t>
  </si>
  <si>
    <t xml:space="preserve">تحت حساب فاتورة المياه عن شهرى مارس وابريل  /2023 </t>
  </si>
  <si>
    <t>تحت حساب فاتورة الكهرباء عن شهر مايو /2023</t>
  </si>
  <si>
    <t>تحت حساب فاتورة المياه عن شهر مايو /2023</t>
  </si>
  <si>
    <t>تحت حساب فاتورة الكهرباء عن شهر يونية /2023</t>
  </si>
  <si>
    <t>تحت حساب فاتورة المياه عن شهر يونية /2023</t>
  </si>
  <si>
    <t>تحت حساب فاتورة الكهرباء عن شهر يولية /2023</t>
  </si>
  <si>
    <t>تحت حساب فاتورة الكهرباء عن شهر اغسطس /2023</t>
  </si>
  <si>
    <t>تحت حساب فاتورة الكهرباء عن شهر سبتمبر /2023</t>
  </si>
  <si>
    <t>تحت حساب فاتورة الكهرباء عن شهر اكتوبر /2023</t>
  </si>
  <si>
    <t>تحت حساب فاتورة الكهرباء عن شهر نوفمبر /2023</t>
  </si>
  <si>
    <t>تحت حساب فاتورة المياه عن شهور 7،8،9،10،11 /2023</t>
  </si>
  <si>
    <t>تحت حساب فاتورة الكهرباء عن شهر ديسمبر /2023</t>
  </si>
  <si>
    <t>تحت حساب فاتورة المياه عن شهر 12/2023</t>
  </si>
  <si>
    <t>متحصلات شهور سنة 2023 لكل شقة</t>
  </si>
  <si>
    <t>م/نادية</t>
  </si>
  <si>
    <t>ا/عبد المجيد</t>
  </si>
  <si>
    <t>تم الدفع</t>
  </si>
  <si>
    <t>موتور</t>
  </si>
  <si>
    <t>الصرف</t>
  </si>
  <si>
    <t>مياه</t>
  </si>
  <si>
    <t>كهرباء</t>
  </si>
  <si>
    <t>طوارئ</t>
  </si>
  <si>
    <t>نظافة السلم</t>
  </si>
  <si>
    <t>نور السلم</t>
  </si>
  <si>
    <t>تسوية</t>
  </si>
  <si>
    <t>كود</t>
  </si>
  <si>
    <t xml:space="preserve">تحت حساب صيانة شهر 12 </t>
  </si>
  <si>
    <t>الحاج/حسين</t>
  </si>
  <si>
    <t>تحت حساب صيانة شهر مارس /2024</t>
  </si>
  <si>
    <t>تحت حساب صيانة شهر ابريل /2024</t>
  </si>
  <si>
    <t>تحت حساب صيانة شهر مايو /2024</t>
  </si>
  <si>
    <t>تحت حساب صيانة شهر ديسمبر /2024</t>
  </si>
  <si>
    <t>منال مصطفى</t>
  </si>
  <si>
    <t>سلمى</t>
  </si>
  <si>
    <t>د/عمرو</t>
  </si>
  <si>
    <t>وائل</t>
  </si>
  <si>
    <t>ا/مصطفى</t>
  </si>
  <si>
    <t>ا/مكى</t>
  </si>
  <si>
    <t>تحت حساب صيانة شهر يناير / 2024</t>
  </si>
  <si>
    <t>تحت حساب صيانة شهر فبراير / 2024</t>
  </si>
  <si>
    <t>تحت حساب صيانة شهر مارس / 2024</t>
  </si>
  <si>
    <t>تحت حساب صيانة شهر ابريل / 2024</t>
  </si>
  <si>
    <t>تحت حساب صيانة شهر مايو / 2024</t>
  </si>
  <si>
    <t>تحت حساب صيانة شهر يونية / 2024</t>
  </si>
  <si>
    <t>تحت حساب صيانة شهر يولية /2024</t>
  </si>
  <si>
    <t>تحت حساب صيانة شهر اغسطس/2024</t>
  </si>
  <si>
    <t>تحت حساب صيانة شهر سبتمبر/2024</t>
  </si>
  <si>
    <t>تحت حساب صيانة شهر اكتوبر/2024</t>
  </si>
  <si>
    <t>تحت حساب صيانة شهر نوفمبر /2024</t>
  </si>
  <si>
    <t>تحت حساب صيانة شهر يونية/ 2024</t>
  </si>
  <si>
    <t>تحت حساب صيانة شهر يولية/ 2024</t>
  </si>
  <si>
    <t>تحت حساب صيانة شهر اغسطس/ 2024</t>
  </si>
  <si>
    <t>تحت حساب صيانة شهر سبتمبر/ 2024</t>
  </si>
  <si>
    <t>تحت حساب صيانة شهر اكتوبر /2024</t>
  </si>
  <si>
    <t>تحت حساب صيانة شهر نوفمبر/ 2024</t>
  </si>
  <si>
    <t>تحت حساب صيانة شهر ديسمبر/ 2024</t>
  </si>
  <si>
    <t>تحت حساب صيانة شهر يولية / 2024</t>
  </si>
  <si>
    <t>سعد عنان</t>
  </si>
  <si>
    <t>عملية اصلاح وتغيير 3 متر ماسورة المياه العذبة التى ضربت 30/8/2024</t>
  </si>
  <si>
    <t>م/آمال</t>
  </si>
  <si>
    <t>ايمان</t>
  </si>
  <si>
    <t>عملية رقم (2) اصلاح وتغيير ماسورة المياه العذبة فى المدخل الرئيسى</t>
  </si>
  <si>
    <t>عام مسدد بالكامل</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</si>
  <si>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</si>
  <si>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</si>
  <si>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</si>
  <si>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</si>
  <si>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</si>
  <si>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</si>
  <si>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</si>
  <si>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</si>
  <si>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</si>
  <si>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</si>
  <si>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</si>
  <si>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</si>
  <si>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</si>
  <si>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</si>
  <si>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</si>
  <si>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</si>
  <si>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</si>
  <si>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خالص</t>
  </si>
  <si>
    <t>حساب صيانة شهر يناير</t>
  </si>
  <si>
    <t>حساب صيانة شهر فبراير</t>
  </si>
  <si>
    <t>آمال</t>
  </si>
  <si>
    <t>معلومات</t>
  </si>
  <si>
    <t>اصلاح وتغيير ماسورة الصرف 4متر الوسطى عند المدخل الرئيسى للعمارة</t>
  </si>
  <si>
    <t>حاج/ حسين</t>
  </si>
  <si>
    <t>دائن</t>
  </si>
  <si>
    <t>مدين</t>
  </si>
  <si>
    <t>رسوم</t>
  </si>
  <si>
    <t>اجمالى</t>
  </si>
  <si>
    <t>رصيد</t>
  </si>
  <si>
    <t>تحت حساب صيانة شهر 1/ 2026</t>
  </si>
  <si>
    <t>تحت حساب صيانة شهر نوفمبر / 2026</t>
  </si>
  <si>
    <t>تحت حساب صيانة شهر ديسمبر /2026</t>
  </si>
  <si>
    <t>تحت حساب صيانة شهر يناير /2026</t>
  </si>
  <si>
    <t>تحت حساب صيانة شهر فبراير /2026</t>
  </si>
  <si>
    <t>تحت حساب صيانة شهر مارس /2026</t>
  </si>
  <si>
    <t>تحت حساب صيانة شهر ابريل /2026</t>
  </si>
  <si>
    <t>تحت حساب صيانة شهر مايو /2026</t>
  </si>
  <si>
    <t>تحت حساب صيانة شهر يونية /2026</t>
  </si>
  <si>
    <t>تحت حساب صيانة شهر يوليو /2026</t>
  </si>
  <si>
    <t>تحت حساب صيانة شهر يناير/2026</t>
  </si>
  <si>
    <t>تحت حساب صيانة شهر فبراير/2026</t>
  </si>
  <si>
    <t>تحت حساب صيانة شهر يولية /2026</t>
  </si>
  <si>
    <t>تحت حساب صيانة شهر اغسطس /2026</t>
  </si>
  <si>
    <t>تحت حساب صيانة شهر سبتمبر /2026</t>
  </si>
  <si>
    <t>تحت حساب صيانة شهر اكتوبر /2026</t>
  </si>
  <si>
    <t>تحت حساب صيانة شهر نوفمبر /2026</t>
  </si>
  <si>
    <t>عملية رقم (1) لسنة 2026 اصلاح وتغيير ماسورة الصرف 4متر الوسطى عند المدخل الرئيسى للعمارة</t>
  </si>
  <si>
    <t>عن صيانة شهر يناير/2026</t>
  </si>
  <si>
    <t>لسنة 2026</t>
  </si>
  <si>
    <t>حساب صيانة شهر يناير /2026</t>
  </si>
  <si>
    <t>حساب صيانة شهر فبراير /2026</t>
  </si>
  <si>
    <t>رصيد مرحل 2026</t>
  </si>
  <si>
    <t>تحت حساب صيانة سنة 2025 بالكامل وسنة 2026، 2027 بالكامل بوقع 450 جنيه للشقتين، بمعنى 150جنيه لشقة 10 الغير مشغولة و 300جنيه لشقة 6 المشغولةـ، ملحوظة: لم يتم وضع مبلغ فى خانة استلام المبلغ لانه تم اثباته سنه 2025</t>
  </si>
  <si>
    <t>تحت حساب صيانة شهر يناير   /2026</t>
  </si>
  <si>
    <t>د.عمرو</t>
  </si>
  <si>
    <t>تحت حساب اصلاح كالون باب الخشب الرئيسى للعمارة وتريحه بحيث يقفل ويفتح الكالون من بره بسهولة</t>
  </si>
  <si>
    <t>تحت حساب اصلاح الموتور - تغيير الرولمان بيلى و الاولسيه بالخراط ب 750جنيه و مصنعية 300جنيه و 50جنيه لاحمد السباك الشاب</t>
  </si>
  <si>
    <t>تحت حساب صيانة وتسليك المجارى بالجراج</t>
  </si>
  <si>
    <t>تحت حساب كهرباء شهر يناير /2026</t>
  </si>
  <si>
    <t>أ/مصطفى</t>
  </si>
  <si>
    <t>تحت حساب نظافة السلم لام احمد عن شهر يناير /2026</t>
  </si>
  <si>
    <t>تحت حساب شراء لزوم نظافة العمارة والمسح بايريال و كلوريكس</t>
  </si>
  <si>
    <t>تحت حساب تسليك المجارى لعامل المجارى</t>
  </si>
  <si>
    <t>تحت حساب كهرباء شهر فبراير /2026</t>
  </si>
  <si>
    <t>تحت حساب اكرامية للمحصل</t>
  </si>
  <si>
    <t>تحت حساب كهربة خلفية المنزل</t>
  </si>
  <si>
    <t>تحت حساب نظافة السلم لام احمد عن شهر فبراير /2026</t>
  </si>
  <si>
    <t>تحت حساب مواصلات لشراء الاوتوماتيك نوع ماكسيكى هاى بريشر</t>
  </si>
  <si>
    <t>ا/سامى</t>
  </si>
  <si>
    <t xml:space="preserve">تحت حساب صيانة شهور يناير وفبراير ومارس / 2026 </t>
  </si>
  <si>
    <t>البنك الاهلى</t>
  </si>
  <si>
    <t>تحت حساب فوائد شهادة  رقم 1807951149146700023 بتاريخ اصدار 21- ديسمبر - 2025 بفائدة 14%، عن شهر يناير/ 2026</t>
  </si>
  <si>
    <t>تحت حساب فوائد شهادة  رقم 1807951149146700023 بتاريخ اصدار 21- ديسمبر - 2025 بفائدة 14%، عن شهر فبراير / 2026</t>
  </si>
  <si>
    <t>تحت حساب كهرباء شهر مارس /2026</t>
  </si>
  <si>
    <t>تحت حساب اصلاح الموتور - شراء بالونة ايطالى ب 1500 من الدقى - و 150 مصنعية</t>
  </si>
  <si>
    <t>تحت حساب شراء اوتوماتيك للموتورب 900 جنيه ومصعية تركيب وضبط ب 100 جنيه</t>
  </si>
  <si>
    <t>منال</t>
  </si>
  <si>
    <t>13، 14</t>
  </si>
  <si>
    <t>تحت حساب نظافة السلم لام احمد عن شهر مارس /2026</t>
  </si>
  <si>
    <t>تحت حساب فوائد شهادة  رقم 1807581149146700038 بتاريخ اصدار 4- يناير - 2026 بفائدة 19.25%، عن شهر ابريل / 2026</t>
  </si>
  <si>
    <t>تحت حساب فوائد شهادة  رقم 1807951149146700023 بتاريخ اصدار 21- ديسمبر - 2025 بفائدة 14%، عن شهر مارس / 2026</t>
  </si>
  <si>
    <t>تحت حساب فاتورة المياه عن شهر ابريل /2026</t>
  </si>
  <si>
    <t>تحت حساب فاتورة المياه عن شهر مارس /2026</t>
  </si>
  <si>
    <t>تحت حساب فاتورة المياه عن شهر يناير /2026</t>
  </si>
  <si>
    <t>تحت حساب فاتورة المياه عن شهر فبراير /2026</t>
  </si>
  <si>
    <t>اكرامية لمحصل الكهرباء</t>
  </si>
  <si>
    <t>تحت حساب نظافة السلم لام احمد عن شهر ابريل /2026</t>
  </si>
  <si>
    <t>تحت حساب شراء كيس ايريال</t>
  </si>
  <si>
    <t>تحت حساب كهرباء شهر ابريل /2026</t>
  </si>
  <si>
    <t>تحت حساب فوائد شهادة  رقم 1807951149146700023 بتاريخ اصدار 21- ديسمبر - 2025 بفائدة 14%، عن شهر ابريل / 2026</t>
  </si>
  <si>
    <t xml:space="preserve">تحت حساب صيانة شهور ابريل ومايو / 2026 </t>
  </si>
  <si>
    <t>تحت حساب صيانة شهر ابريل و مايو /2026</t>
  </si>
  <si>
    <t>تحت حساب فاتورة المياه عن شهر مايو /2026</t>
  </si>
  <si>
    <t>تحت حساب كهرباء شهر مايو /2026</t>
  </si>
  <si>
    <t>تحت حساب اصلاح الموتور - شراء شيك بلف 575 ج - لاكور وكتان وحاجة ثانية وتفلون 110 ج - ومصنعية 315 ج</t>
  </si>
  <si>
    <t>تحت حساب صيانة شهر ابريل ومايو /2026</t>
  </si>
  <si>
    <t xml:space="preserve">تحت حساب صيانة شهور ابريل و مايو ويونية / 2026 </t>
  </si>
  <si>
    <t>تحت حساب نظافة السلم لام احمد عن شهر مايو /2026</t>
  </si>
  <si>
    <t>تحت حساب صيانة شهر يونيه /2026</t>
  </si>
  <si>
    <t>تحت حساب فوائد شهادة  رقم 1807951149146700023 بتاريخ اصدار 21- ديسمبر - 2025 بفائدة 14%، عن شهر مايو / 2026</t>
  </si>
  <si>
    <t>تحت حساب صيانة شهر يونيه / 2026</t>
  </si>
  <si>
    <t>تحت حساب كهرباء شهر يونيه /2026</t>
  </si>
  <si>
    <t>تحت حساب فاتورة المياه عن شهر يونيه /2026</t>
  </si>
  <si>
    <t>تحت حساب نظافة السلم لام احمد عن شهر يونيه /2026</t>
  </si>
  <si>
    <t>تحت حساب فوائد شهادة  رقم 1807951149146700023 بتاريخ اصدار 21- ديسمبر - 2025 بفائدة 14%، عن شهر يونيه / 2026</t>
  </si>
  <si>
    <t>تحت حساب صيانة شهر يوليه /2026</t>
  </si>
  <si>
    <t>تحت حساب صيانة شهر يوليه / 2026</t>
  </si>
  <si>
    <t>تحت حساب نظافة امام العمارة</t>
  </si>
  <si>
    <t>تحت حساب كهرباء شهر يوليه /2026</t>
  </si>
  <si>
    <t>تحت حساب فاتورة المياه عن شهر يوليه /2026</t>
  </si>
  <si>
    <t xml:space="preserve">تحت حساب صيانة شهور ابريل - مايو - يونية - يولية / 2026 </t>
  </si>
  <si>
    <t>تحت حساب فوائد شهادة  رقم 1807951149146700023 بتاريخ اصدار 21- ديسمبر - 2025 بفائدة 14%، عن شهر يولية / 2026</t>
  </si>
  <si>
    <t>تحت حساب فوائد شهادة  رقم 1807581149146700038 بتاريخ اصدار 4- يناير - 2026 بفائدة 19.25%، عن شهر يوليه / 2026</t>
  </si>
  <si>
    <t>تحت حساب نظافة السلم لام احمد عن شهر يولية /2026</t>
  </si>
  <si>
    <t>تحت حساب صيانة شهر يونية ويولية /2026</t>
  </si>
  <si>
    <t>تحت حساب صيانة شهر أغسطس /2026</t>
  </si>
  <si>
    <t>تحت حساب فوائد شهادة  رقم 1807951149146700023 بتاريخ اصدار 21- ديسمبر - 2025 بفائدة 14%، عن شهر اغسطس / 2026</t>
  </si>
  <si>
    <t>تحت حساب صيانة شهر اغسطس / 2026</t>
  </si>
  <si>
    <t>تحت حساب فاتورة المياه عن شهر اغسطس /2026</t>
  </si>
  <si>
    <t xml:space="preserve">تحت حساب صيانة شهور يوليه - اغسطس - سبتمبر / 2026 </t>
  </si>
  <si>
    <t>تحت حساب نظافة السلم لام احمد عن شهر اغسطس /2026</t>
  </si>
  <si>
    <t>تحت حساب كهرباء شهر اغسطس /2026</t>
  </si>
  <si>
    <t>تحت حساب صيانة شهور سبتمبر - اكتوبر- نوفمبر - ديسمبر / 2026</t>
  </si>
  <si>
    <t>تحت حساب صيانة شهر يوليه واغسطس /2026</t>
  </si>
  <si>
    <t>تحت حساب كهرباء شهر سبتمبر /2026</t>
  </si>
  <si>
    <t>تحت حساب فاتورة المياه عن شهر سبتمبر /2026</t>
  </si>
  <si>
    <t>تحت حساب نظافة المجارى فى الجراج</t>
  </si>
  <si>
    <t>تحت حساب نظافة السلم لام احمد عن شهر سبتمبر /2026</t>
  </si>
  <si>
    <t>تحت حساب فوائد شهادة  رقم 1807951149146700023 بتاريخ اصدار 21- ديسمبر - 2025 بفائدة 14%، عن شهر سبتمبر / 2026</t>
  </si>
  <si>
    <t>تحت حساب فوائد شهادة  رقم 1807951149146700023 بتاريخ اصدار 21- ديسمبر - 2025 بفائدة 14%، عن شهر اكتوبر / 2026</t>
  </si>
  <si>
    <t>تحت حساب فوائد شهادة  رقم 1807581149146700038 بتاريخ اصدار 4- يناير - 2026 بفائدة 19.25%، عن شهر اكتوبر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</si>
</sst>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yyyy/mm/dd;@"/>
  </numFmts>
  <fonts count="18" x14ac:knownFonts="1">
    <font>
      <sz val="11"/>
      <color theme="1"/>
      <name val="Arial"/>
      <family val="2"/>
      <charset val="178"/>
      <scheme val="minor"/>
    </font>
    <font>
      <sz val="14"/>
      <color theme="1"/>
      <name val="Arial"/>
      <family val="2"/>
      <charset val="178"/>
      <scheme val="minor"/>
    </font>
    <font>
      <b/>
      <sz val="20"/>
      <color theme="1"/>
      <name val="Arial"/>
      <family val="2"/>
      <scheme val="minor"/>
    </font>
    <font>
      <b/>
      <sz val="14"/>
      <color theme="1"/>
      <name val="Arial"/>
      <family val="2"/>
      <scheme val="minor"/>
    </font>
    <font>
      <b/>
      <u/>
      <sz val="14"/>
      <color theme="1"/>
      <name val="Arial"/>
      <family val="2"/>
      <scheme val="minor"/>
    </font>
    <font>
      <sz val="18"/>
      <color theme="1"/>
      <name val="Arial"/>
      <family val="2"/>
      <charset val="178"/>
      <scheme val="minor"/>
    </font>
    <font>
      <b/>
      <u/>
      <sz val="20"/>
      <color theme="1"/>
      <name val="Arial"/>
      <family val="2"/>
      <scheme val="minor"/>
    </font>
    <font>
      <u/>
      <sz val="16"/>
      <color theme="1"/>
      <name val="Arial"/>
      <family val="2"/>
      <charset val="178"/>
      <scheme val="minor"/>
    </font>
    <font>
      <sz val="12"/>
      <color theme="1"/>
      <name val="Arial"/>
      <family val="2"/>
      <charset val="178"/>
      <scheme val="minor"/>
    </font>
    <font>
      <b/>
      <sz val="12"/>
      <color theme="1"/>
      <name val="Arial"/>
      <family val="2"/>
      <scheme val="minor"/>
    </font>
    <font>
      <b/>
      <sz val="11"/>
      <color rgb="FFFF0000"/>
      <name val="Arial"/>
      <family val="2"/>
      <scheme val="minor"/>
    </font>
    <font>
      <b/>
      <u/>
      <sz val="18"/>
      <color theme="1"/>
      <name val="Arial"/>
      <family val="2"/>
      <scheme val="minor"/>
    </font>
    <font>
      <sz val="14"/>
      <color rgb="FFFF0000"/>
      <name val="Arial"/>
      <family val="2"/>
      <charset val="178"/>
      <scheme val="minor"/>
    </font>
    <font>
      <b/>
      <sz val="14"/>
      <color rgb="FF00B050"/>
      <name val="Arial"/>
      <family val="2"/>
      <scheme val="minor"/>
    </font>
    <font>
      <b/>
      <u/>
      <sz val="14"/>
      <color rgb="FFFF0000"/>
      <name val="Arial"/>
      <family val="2"/>
      <scheme val="minor"/>
    </font>
    <font>
      <b/>
      <u/>
      <sz val="12"/>
      <color rgb="FFFF0000"/>
      <name val="Arial"/>
      <family val="2"/>
      <scheme val="minor"/>
    </font>
    <font>
      <sz val="16"/>
      <color theme="1"/>
      <name val="Arial"/>
      <family val="2"/>
      <charset val="178"/>
      <scheme val="minor"/>
    </font>
    <font>
      <sz val="14"/>
      <name val="Arial"/>
      <family val="2"/>
      <charset val="178"/>
      <scheme val="minor"/>
    </font>
  </fonts>
  <fills count="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4" tint="0.59999389629810485"/>
        <bgColor theme="4" tint="0.59999389629810485"/>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theme="0"/>
      </left>
      <right style="thin">
        <color theme="0"/>
      </right>
      <top style="thin">
        <color theme="0"/>
      </top>
      <bottom style="thin">
        <color theme="0"/>
      </bottom>
      <diagonal/>
    </border>
  </borders>
  <cellStyleXfs count="1">
    <xf numFmtId="0" fontId="0" fillId="0" borderId="0"/>
  </cellStyleXfs>
  <cellXfs count="112">
    <xf numFmtId="0" fontId="0" fillId="0" borderId="0" xfId="0"/>
    <xf numFmtId="0" fontId="2" fillId="0" borderId="0" xfId="0" applyFont="1" applyAlignment="1">
      <alignment horizontal="center"/>
    </xf>
    <xf numFmtId="0" fontId="1" fillId="0" borderId="0" xfId="0" applyFont="1"/>
    <xf numFmtId="0" fontId="0" fillId="0" borderId="0" xfId="0" applyAlignment="1">
      <alignment readingOrder="2"/>
    </xf>
    <xf numFmtId="0" fontId="1" fillId="2" borderId="0" xfId="0" applyFont="1" applyFill="1" applyAlignment="1">
      <alignment horizontal="center" vertical="center" wrapText="1" readingOrder="2"/>
    </xf>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readingOrder="2"/>
    </xf>
    <xf numFmtId="164" fontId="0" fillId="0" borderId="0" xfId="0" applyNumberFormat="1" applyAlignment="1">
      <alignment readingOrder="2"/>
    </xf>
    <xf numFmtId="0" fontId="1" fillId="0" borderId="0" xfId="0" applyFont="1" applyAlignment="1">
      <alignment readingOrder="2"/>
    </xf>
    <xf numFmtId="164" fontId="1" fillId="0" borderId="0" xfId="0" applyNumberFormat="1" applyFont="1" applyAlignment="1">
      <alignment readingOrder="2"/>
    </xf>
    <xf numFmtId="164" fontId="4" fillId="0" borderId="0" xfId="0" applyNumberFormat="1" applyFont="1" applyAlignment="1">
      <alignment readingOrder="2"/>
    </xf>
    <xf numFmtId="0" fontId="4" fillId="0" borderId="0" xfId="0" applyFont="1" applyAlignment="1">
      <alignment readingOrder="2"/>
    </xf>
    <xf numFmtId="0" fontId="1" fillId="2" borderId="1" xfId="0" applyFont="1" applyFill="1" applyBorder="1" applyAlignment="1">
      <alignment horizontal="center" vertical="center" wrapText="1" readingOrder="2"/>
    </xf>
    <xf numFmtId="164" fontId="1" fillId="2" borderId="1" xfId="0" applyNumberFormat="1" applyFont="1" applyFill="1" applyBorder="1" applyAlignment="1">
      <alignment horizontal="center" vertical="center" wrapText="1" readingOrder="2"/>
    </xf>
    <xf numFmtId="0" fontId="1" fillId="4" borderId="1" xfId="0" applyFont="1" applyFill="1" applyBorder="1" applyAlignment="1">
      <alignment horizontal="center" vertical="center" wrapText="1" readingOrder="2"/>
    </xf>
    <xf numFmtId="0" fontId="1" fillId="5" borderId="1" xfId="0" applyFont="1" applyFill="1" applyBorder="1" applyAlignment="1">
      <alignment horizontal="center" vertical="center" wrapText="1" readingOrder="2"/>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0" xfId="0" applyFont="1" applyAlignment="1">
      <alignment horizontal="center" wrapText="1"/>
    </xf>
    <xf numFmtId="0" fontId="0" fillId="0" borderId="0" xfId="0" applyAlignment="1">
      <alignment vertical="center"/>
    </xf>
    <xf numFmtId="0" fontId="1" fillId="6" borderId="0" xfId="0" applyFont="1" applyFill="1" applyAlignment="1">
      <alignment readingOrder="2"/>
    </xf>
    <xf numFmtId="0" fontId="0" fillId="2" borderId="0" xfId="0" applyFill="1" applyAlignment="1">
      <alignment readingOrder="2"/>
    </xf>
    <xf numFmtId="0" fontId="1" fillId="2" borderId="0" xfId="0" applyFont="1" applyFill="1" applyAlignment="1">
      <alignment readingOrder="2"/>
    </xf>
    <xf numFmtId="0" fontId="5" fillId="2" borderId="1" xfId="0" applyFont="1" applyFill="1" applyBorder="1" applyAlignment="1">
      <alignment horizontal="center" vertical="center" readingOrder="2"/>
    </xf>
    <xf numFmtId="0" fontId="5" fillId="7" borderId="1" xfId="0" applyFont="1" applyFill="1" applyBorder="1" applyAlignment="1">
      <alignment horizontal="center" vertical="center" readingOrder="2"/>
    </xf>
    <xf numFmtId="0" fontId="5" fillId="2" borderId="1" xfId="0" applyFont="1" applyFill="1" applyBorder="1" applyAlignment="1">
      <alignment readingOrder="2"/>
    </xf>
    <xf numFmtId="0" fontId="5" fillId="0" borderId="1" xfId="0" applyFont="1" applyBorder="1" applyAlignment="1">
      <alignment readingOrder="2"/>
    </xf>
    <xf numFmtId="2" fontId="1" fillId="0" borderId="0" xfId="0" applyNumberFormat="1" applyFont="1" applyAlignment="1">
      <alignment vertical="center" readingOrder="2"/>
    </xf>
    <xf numFmtId="2" fontId="0" fillId="0" borderId="0" xfId="0" applyNumberFormat="1" applyAlignment="1">
      <alignment vertical="center" readingOrder="2"/>
    </xf>
    <xf numFmtId="2" fontId="7" fillId="3" borderId="1" xfId="0" applyNumberFormat="1" applyFont="1" applyFill="1" applyBorder="1" applyAlignment="1">
      <alignment horizontal="center" vertical="center" wrapText="1" readingOrder="2"/>
    </xf>
    <xf numFmtId="2" fontId="7" fillId="3" borderId="1" xfId="0" applyNumberFormat="1" applyFont="1" applyFill="1" applyBorder="1" applyAlignment="1">
      <alignment vertical="center" readingOrder="2"/>
    </xf>
    <xf numFmtId="0" fontId="3" fillId="2" borderId="1" xfId="0" applyFont="1" applyFill="1" applyBorder="1" applyAlignment="1">
      <alignment horizontal="center" vertical="center" wrapText="1"/>
    </xf>
    <xf numFmtId="0" fontId="9" fillId="0" borderId="5" xfId="0" applyFont="1" applyBorder="1" applyAlignment="1">
      <alignment vertical="center" readingOrder="2"/>
    </xf>
    <xf numFmtId="0" fontId="1" fillId="0" borderId="0" xfId="0" applyFont="1" applyAlignment="1">
      <alignment horizontal="center" readingOrder="2"/>
    </xf>
    <xf numFmtId="0" fontId="8" fillId="0" borderId="0" xfId="0" applyFont="1"/>
    <xf numFmtId="2" fontId="3" fillId="2" borderId="1" xfId="0" applyNumberFormat="1" applyFont="1" applyFill="1" applyBorder="1" applyAlignment="1">
      <alignment horizontal="center" vertical="center" wrapText="1" readingOrder="2"/>
    </xf>
    <xf numFmtId="0" fontId="1" fillId="2" borderId="0" xfId="0" applyFont="1" applyFill="1"/>
    <xf numFmtId="0" fontId="0" fillId="2" borderId="0" xfId="0" applyFill="1"/>
    <xf numFmtId="0" fontId="12" fillId="0" borderId="0" xfId="0" applyFont="1" applyAlignment="1">
      <alignment readingOrder="2"/>
    </xf>
    <xf numFmtId="0" fontId="12" fillId="0" borderId="0" xfId="0" applyFont="1"/>
    <xf numFmtId="0" fontId="13" fillId="2" borderId="2" xfId="0" applyFont="1" applyFill="1" applyBorder="1" applyAlignment="1">
      <alignment readingOrder="2"/>
    </xf>
    <xf numFmtId="2" fontId="13" fillId="2" borderId="3" xfId="0" applyNumberFormat="1" applyFont="1" applyFill="1" applyBorder="1" applyAlignment="1">
      <alignment readingOrder="2"/>
    </xf>
    <xf numFmtId="0" fontId="13" fillId="2" borderId="3" xfId="0" applyFont="1" applyFill="1" applyBorder="1" applyAlignment="1">
      <alignment readingOrder="2"/>
    </xf>
    <xf numFmtId="0" fontId="3" fillId="2" borderId="3" xfId="0" applyFont="1" applyFill="1" applyBorder="1" applyAlignment="1">
      <alignment readingOrder="2"/>
    </xf>
    <xf numFmtId="0" fontId="3" fillId="2" borderId="4" xfId="0" applyFont="1" applyFill="1" applyBorder="1" applyAlignment="1">
      <alignment readingOrder="2"/>
    </xf>
    <xf numFmtId="164" fontId="15" fillId="0" borderId="0" xfId="0" applyNumberFormat="1" applyFont="1" applyAlignment="1">
      <alignment readingOrder="2"/>
    </xf>
    <xf numFmtId="0" fontId="5" fillId="2" borderId="0" xfId="0" applyFont="1" applyFill="1"/>
    <xf numFmtId="0" fontId="5" fillId="2" borderId="0" xfId="0" applyFont="1" applyFill="1" applyAlignment="1">
      <alignment readingOrder="2"/>
    </xf>
    <xf numFmtId="0" fontId="1" fillId="0" borderId="0" xfId="0" applyFont="1" applyAlignment="1">
      <alignment vertical="top" readingOrder="2"/>
    </xf>
    <xf numFmtId="164" fontId="4" fillId="0" borderId="0" xfId="0" applyNumberFormat="1" applyFont="1" applyAlignment="1">
      <alignment horizontal="left" readingOrder="2"/>
    </xf>
    <xf numFmtId="164" fontId="1" fillId="2" borderId="0" xfId="0" applyNumberFormat="1" applyFont="1" applyFill="1" applyAlignment="1">
      <alignment horizontal="left" vertical="center" wrapText="1" readingOrder="2"/>
    </xf>
    <xf numFmtId="164" fontId="1" fillId="0" borderId="0" xfId="0" applyNumberFormat="1" applyFont="1" applyAlignment="1">
      <alignment horizontal="left" readingOrder="2"/>
    </xf>
    <xf numFmtId="164" fontId="0" fillId="0" borderId="0" xfId="0" applyNumberFormat="1" applyAlignment="1">
      <alignment horizontal="left" readingOrder="2"/>
    </xf>
    <xf numFmtId="0" fontId="4" fillId="0" borderId="0" xfId="0" applyFont="1" applyAlignment="1">
      <alignment horizontal="left" readingOrder="2"/>
    </xf>
    <xf numFmtId="0" fontId="1" fillId="2" borderId="0" xfId="0" applyFont="1" applyFill="1" applyAlignment="1">
      <alignment horizontal="left" vertical="center" wrapText="1" readingOrder="2"/>
    </xf>
    <xf numFmtId="0" fontId="1" fillId="0" borderId="0" xfId="0" applyFont="1" applyAlignment="1">
      <alignment horizontal="left" readingOrder="2"/>
    </xf>
    <xf numFmtId="0" fontId="0" fillId="0" borderId="0" xfId="0" applyAlignment="1">
      <alignment horizontal="left" readingOrder="2"/>
    </xf>
    <xf numFmtId="0" fontId="2" fillId="0" borderId="0" xfId="0" applyFont="1" applyAlignment="1">
      <alignment horizontal="left"/>
    </xf>
    <xf numFmtId="164" fontId="4" fillId="0" borderId="0" xfId="0" applyNumberFormat="1" applyFont="1" applyAlignment="1">
      <alignment horizontal="left" vertical="top" readingOrder="2"/>
    </xf>
    <xf numFmtId="164" fontId="1" fillId="2" borderId="0" xfId="0" applyNumberFormat="1" applyFont="1" applyFill="1" applyAlignment="1">
      <alignment horizontal="left" vertical="top" wrapText="1" readingOrder="2"/>
    </xf>
    <xf numFmtId="164" fontId="1" fillId="0" borderId="0" xfId="0" applyNumberFormat="1" applyFont="1" applyAlignment="1">
      <alignment horizontal="left" vertical="top" readingOrder="2"/>
    </xf>
    <xf numFmtId="164" fontId="0" fillId="0" borderId="0" xfId="0" applyNumberFormat="1" applyAlignment="1">
      <alignment horizontal="left" vertical="top" readingOrder="2"/>
    </xf>
    <xf numFmtId="164" fontId="4" fillId="0" borderId="0" xfId="0" applyNumberFormat="1" applyFont="1" applyAlignment="1">
      <alignment horizontal="center" readingOrder="2"/>
    </xf>
    <xf numFmtId="164" fontId="1" fillId="0" borderId="0" xfId="0" applyNumberFormat="1" applyFont="1" applyAlignment="1">
      <alignment horizontal="center" readingOrder="2"/>
    </xf>
    <xf numFmtId="164" fontId="0" fillId="0" borderId="0" xfId="0" applyNumberFormat="1" applyAlignment="1">
      <alignment horizontal="center" readingOrder="2"/>
    </xf>
    <xf numFmtId="164" fontId="1" fillId="2" borderId="0" xfId="0" applyNumberFormat="1" applyFont="1" applyFill="1" applyAlignment="1">
      <alignment horizontal="center" wrapText="1" readingOrder="2"/>
    </xf>
    <xf numFmtId="0" fontId="0" fillId="0" borderId="0" xfId="0" applyAlignment="1">
      <alignment horizontal="center" readingOrder="2"/>
    </xf>
    <xf numFmtId="0" fontId="14" fillId="0" borderId="0" xfId="0" applyFont="1" applyAlignment="1">
      <alignment horizontal="center" vertical="center" readingOrder="2"/>
    </xf>
    <xf numFmtId="0" fontId="0" fillId="0" borderId="0" xfId="0" applyAlignment="1">
      <alignment horizontal="center" vertical="center" readingOrder="2"/>
    </xf>
    <xf numFmtId="0" fontId="0" fillId="0" borderId="0" xfId="0" applyAlignment="1">
      <alignment horizontal="center" vertical="center"/>
    </xf>
    <xf numFmtId="0" fontId="1" fillId="4" borderId="0" xfId="0" applyFont="1" applyFill="1" applyAlignment="1">
      <alignment horizontal="center" vertical="center" readingOrder="2"/>
    </xf>
    <xf numFmtId="0" fontId="1" fillId="5" borderId="0" xfId="0" applyFont="1" applyFill="1" applyAlignment="1">
      <alignment horizontal="center" vertical="center" readingOrder="2"/>
    </xf>
    <xf numFmtId="0" fontId="1" fillId="3" borderId="0" xfId="0" applyFont="1" applyFill="1" applyAlignment="1">
      <alignment horizontal="center" vertical="center" readingOrder="2"/>
    </xf>
    <xf numFmtId="0" fontId="1" fillId="0" borderId="0" xfId="0" applyFont="1" applyAlignment="1">
      <alignment horizontal="center" vertical="center" readingOrder="2"/>
    </xf>
    <xf numFmtId="0" fontId="1" fillId="0" borderId="0" xfId="0" applyFont="1" applyAlignment="1">
      <alignment horizontal="center" vertical="center"/>
    </xf>
    <xf numFmtId="0" fontId="2" fillId="0" borderId="0" xfId="0" applyFont="1" applyAlignment="1">
      <alignment horizontal="left" vertical="center"/>
    </xf>
    <xf numFmtId="164" fontId="4" fillId="0" borderId="0" xfId="0" applyNumberFormat="1" applyFont="1" applyAlignment="1">
      <alignment horizontal="left" vertical="center" readingOrder="2"/>
    </xf>
    <xf numFmtId="164" fontId="1" fillId="0" borderId="0" xfId="0" applyNumberFormat="1" applyFont="1" applyAlignment="1">
      <alignment horizontal="left" vertical="center" readingOrder="2"/>
    </xf>
    <xf numFmtId="164" fontId="0" fillId="0" borderId="0" xfId="0" applyNumberFormat="1" applyAlignment="1">
      <alignment horizontal="left" vertical="center" readingOrder="2"/>
    </xf>
    <xf numFmtId="0" fontId="3" fillId="0" borderId="0" xfId="0" applyFont="1" applyAlignment="1">
      <alignment horizontal="left" vertical="center" wrapText="1"/>
    </xf>
    <xf numFmtId="0" fontId="4" fillId="0" borderId="0" xfId="0" applyFont="1" applyAlignment="1">
      <alignment horizontal="left" vertical="center" readingOrder="2"/>
    </xf>
    <xf numFmtId="0" fontId="1" fillId="0" borderId="0" xfId="0" applyFont="1" applyAlignment="1">
      <alignment horizontal="left" vertical="center" readingOrder="2"/>
    </xf>
    <xf numFmtId="0" fontId="0" fillId="0" borderId="0" xfId="0" applyAlignment="1">
      <alignment horizontal="left" vertical="center" readingOrder="2"/>
    </xf>
    <xf numFmtId="0" fontId="4" fillId="0" borderId="0" xfId="0" applyFont="1" applyAlignment="1">
      <alignment horizontal="center" readingOrder="2"/>
    </xf>
    <xf numFmtId="0" fontId="2" fillId="0" borderId="0" xfId="0" applyFont="1" applyAlignment="1">
      <alignment horizontal="center" vertical="center"/>
    </xf>
    <xf numFmtId="164" fontId="4" fillId="0" borderId="0" xfId="0" applyNumberFormat="1" applyFont="1" applyAlignment="1">
      <alignment vertical="center" readingOrder="2"/>
    </xf>
    <xf numFmtId="0" fontId="1" fillId="0" borderId="0" xfId="0" applyFont="1" applyAlignment="1">
      <alignment vertical="center"/>
    </xf>
    <xf numFmtId="0" fontId="3" fillId="0" borderId="0" xfId="0" applyFont="1" applyAlignment="1">
      <alignment horizontal="center" vertical="center" wrapText="1"/>
    </xf>
    <xf numFmtId="0" fontId="4" fillId="0" borderId="0" xfId="0" applyFont="1" applyAlignment="1">
      <alignment vertical="center" readingOrder="2"/>
    </xf>
    <xf numFmtId="0" fontId="4" fillId="0" borderId="0" xfId="0" applyFont="1" applyAlignment="1">
      <alignment wrapText="1" readingOrder="2"/>
    </xf>
    <xf numFmtId="0" fontId="1" fillId="0" borderId="0" xfId="0" applyFont="1" applyAlignment="1">
      <alignment horizontal="center" vertical="center" wrapText="1" readingOrder="2"/>
    </xf>
    <xf numFmtId="0" fontId="1" fillId="4" borderId="1" xfId="0" applyFont="1" applyFill="1" applyBorder="1" applyAlignment="1">
      <alignment horizontal="center" readingOrder="2"/>
    </xf>
    <xf numFmtId="0" fontId="1" fillId="5" borderId="1" xfId="0" applyFont="1" applyFill="1" applyBorder="1" applyAlignment="1">
      <alignment horizontal="center" readingOrder="2"/>
    </xf>
    <xf numFmtId="0" fontId="0" fillId="0" borderId="0" xfId="0" applyAlignment="1">
      <alignment horizontal="center"/>
    </xf>
    <xf numFmtId="0" fontId="1" fillId="3" borderId="1" xfId="0" applyFont="1" applyFill="1" applyBorder="1" applyAlignment="1">
      <alignment horizontal="center" readingOrder="2"/>
    </xf>
    <xf numFmtId="0" fontId="1" fillId="0" borderId="0" xfId="0" applyFont="1" applyAlignment="1">
      <alignment horizontal="center"/>
    </xf>
    <xf numFmtId="164" fontId="17" fillId="0" borderId="0" xfId="0" applyNumberFormat="1" applyFont="1" applyAlignment="1">
      <alignment horizontal="left" vertical="top" readingOrder="2"/>
    </xf>
    <xf numFmtId="0" fontId="12" fillId="0" borderId="0" xfId="0" applyFont="1" applyAlignment="1">
      <alignment horizontal="left" readingOrder="2"/>
    </xf>
    <xf numFmtId="164" fontId="1" fillId="8" borderId="7" xfId="0" applyNumberFormat="1" applyFont="1" applyFill="1" applyBorder="1" applyAlignment="1">
      <alignment horizontal="left" readingOrder="2"/>
    </xf>
    <xf numFmtId="0" fontId="2" fillId="0" borderId="0" xfId="0" applyFont="1" applyAlignment="1">
      <alignment horizontal="center"/>
    </xf>
    <xf numFmtId="0" fontId="2" fillId="0" borderId="0" xfId="0" applyFont="1" applyAlignment="1">
      <alignment horizontal="center" vertical="center" wrapText="1"/>
    </xf>
    <xf numFmtId="0" fontId="16" fillId="0" borderId="0" xfId="0" applyFont="1" applyAlignment="1">
      <alignment horizontal="center" vertical="center"/>
    </xf>
    <xf numFmtId="0" fontId="6" fillId="0" borderId="0" xfId="0" applyFont="1" applyAlignment="1">
      <alignment horizontal="center" readingOrder="2"/>
    </xf>
    <xf numFmtId="0" fontId="10" fillId="0" borderId="6" xfId="0" applyFont="1" applyBorder="1" applyAlignment="1">
      <alignment horizontal="center"/>
    </xf>
    <xf numFmtId="0" fontId="11" fillId="0" borderId="0" xfId="0" applyFont="1" applyAlignment="1">
      <alignment horizontal="center"/>
    </xf>
    <xf numFmtId="0" fontId="1" fillId="0" borderId="0" xfId="0" applyFont="1" applyAlignment="1">
      <alignment horizontal="righ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cellXfs>
  <cellStyles count="1">
    <cellStyle name="Normal" xfId="0" builtinId="0"/>
  </cellStyles>
  <dxfs count="8">
    <dxf>
      <alignment horizontal="general" vertical="bottom" textRotation="0" wrapText="0" relativeIndent="0" justifyLastLine="0" shrinkToFit="0" readingOrder="2"/>
    </dxf>
    <dxf>
      <alignment horizontal="general" vertical="bottom" textRotation="0" wrapText="0" relativeIndent="0" justifyLastLine="0" shrinkToFit="0" readingOrder="2"/>
    </dxf>
    <dxf>
      <alignment horizontal="general" vertical="bottom" textRotation="0" wrapText="0" relativeIndent="0" justifyLastLine="0" shrinkToFit="0" readingOrder="2"/>
    </dxf>
    <dxf>
      <alignment horizontal="general" vertical="bottom" textRotation="0" wrapText="0" relativeIndent="0" justifyLastLine="0" shrinkToFit="0" readingOrder="2"/>
    </dxf>
    <dxf>
      <alignment horizontal="left" vertical="bottom" textRotation="0" wrapText="0" relativeIndent="0" justifyLastLine="0" shrinkToFit="0" readingOrder="2"/>
    </dxf>
    <dxf>
      <numFmt numFmtId="164" formatCode="[$-1010000]yyyy/mm/dd;@"/>
      <alignment horizontal="left" vertical="bottom" textRotation="0" wrapText="0" relativeIndent="0" justifyLastLine="0" shrinkToFit="0" readingOrder="2"/>
    </dxf>
    <dxf>
      <alignment horizontal="general" vertical="bottom" textRotation="0" wrapText="0" relativeIndent="0" justifyLastLine="0" shrinkToFit="0" readingOrder="2"/>
    </dxf>
    <dxf>
      <font>
        <b/>
        <i val="0"/>
        <strike val="0"/>
        <condense val="0"/>
        <extend val="0"/>
        <outline val="0"/>
        <shadow val="0"/>
        <u val="none"/>
        <vertAlign val="baseline"/>
        <sz val="20"/>
        <color theme="1"/>
        <name val="Calibri"/>
        <scheme val="minor"/>
      </font>
      <alignment horizontal="center" vertical="bottom" textRotation="0" wrapText="0" relative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trendline>
            <c:trendlineType val="movingAvg"/>
            <c:period val="2"/>
            <c:dispRSqr val="0"/>
            <c:dispEq val="0"/>
          </c:trendline>
          <c:cat>
            <c:numRef>
              <c:f>electricity!$B$6:$B$86</c:f>
              <c:numCache>
                <c:formatCode>[$-1010000]yyyy/mm/dd;@</c:formatCode>
                <c:ptCount val="81"/>
                <c:pt idx="0">
                  <c:v>43838</c:v>
                </c:pt>
                <c:pt idx="1">
                  <c:v>43845</c:v>
                </c:pt>
                <c:pt idx="2">
                  <c:v>43850</c:v>
                </c:pt>
                <c:pt idx="3">
                  <c:v>43853</c:v>
                </c:pt>
                <c:pt idx="4">
                  <c:v>43856</c:v>
                </c:pt>
                <c:pt idx="5">
                  <c:v>43858</c:v>
                </c:pt>
                <c:pt idx="6">
                  <c:v>43860</c:v>
                </c:pt>
                <c:pt idx="7">
                  <c:v>43864</c:v>
                </c:pt>
                <c:pt idx="8">
                  <c:v>43866</c:v>
                </c:pt>
                <c:pt idx="9">
                  <c:v>43867</c:v>
                </c:pt>
                <c:pt idx="10">
                  <c:v>43872</c:v>
                </c:pt>
                <c:pt idx="11">
                  <c:v>43875</c:v>
                </c:pt>
                <c:pt idx="12">
                  <c:v>43876</c:v>
                </c:pt>
                <c:pt idx="13">
                  <c:v>43878</c:v>
                </c:pt>
                <c:pt idx="14">
                  <c:v>43879</c:v>
                </c:pt>
                <c:pt idx="15">
                  <c:v>43880</c:v>
                </c:pt>
                <c:pt idx="16">
                  <c:v>43881</c:v>
                </c:pt>
                <c:pt idx="17">
                  <c:v>43883</c:v>
                </c:pt>
                <c:pt idx="18">
                  <c:v>43885</c:v>
                </c:pt>
                <c:pt idx="19">
                  <c:v>43886</c:v>
                </c:pt>
                <c:pt idx="20">
                  <c:v>43887</c:v>
                </c:pt>
                <c:pt idx="21">
                  <c:v>43890</c:v>
                </c:pt>
                <c:pt idx="22">
                  <c:v>43892</c:v>
                </c:pt>
                <c:pt idx="23">
                  <c:v>43893</c:v>
                </c:pt>
                <c:pt idx="24">
                  <c:v>43895</c:v>
                </c:pt>
                <c:pt idx="25">
                  <c:v>43897</c:v>
                </c:pt>
                <c:pt idx="26">
                  <c:v>43899</c:v>
                </c:pt>
                <c:pt idx="27">
                  <c:v>43900</c:v>
                </c:pt>
                <c:pt idx="28">
                  <c:v>43901</c:v>
                </c:pt>
                <c:pt idx="29">
                  <c:v>43903</c:v>
                </c:pt>
                <c:pt idx="30">
                  <c:v>43905</c:v>
                </c:pt>
                <c:pt idx="31">
                  <c:v>43908</c:v>
                </c:pt>
                <c:pt idx="32">
                  <c:v>43909</c:v>
                </c:pt>
                <c:pt idx="33">
                  <c:v>43910</c:v>
                </c:pt>
                <c:pt idx="34">
                  <c:v>43911</c:v>
                </c:pt>
                <c:pt idx="35">
                  <c:v>43912</c:v>
                </c:pt>
                <c:pt idx="36">
                  <c:v>43913</c:v>
                </c:pt>
                <c:pt idx="37">
                  <c:v>43914</c:v>
                </c:pt>
                <c:pt idx="38">
                  <c:v>43915</c:v>
                </c:pt>
                <c:pt idx="39">
                  <c:v>43916</c:v>
                </c:pt>
                <c:pt idx="40">
                  <c:v>43917</c:v>
                </c:pt>
                <c:pt idx="41">
                  <c:v>43918</c:v>
                </c:pt>
                <c:pt idx="42">
                  <c:v>43919</c:v>
                </c:pt>
                <c:pt idx="43">
                  <c:v>43920</c:v>
                </c:pt>
                <c:pt idx="44">
                  <c:v>43921</c:v>
                </c:pt>
                <c:pt idx="45">
                  <c:v>43922</c:v>
                </c:pt>
                <c:pt idx="46">
                  <c:v>43923</c:v>
                </c:pt>
                <c:pt idx="47">
                  <c:v>43924</c:v>
                </c:pt>
                <c:pt idx="48">
                  <c:v>43925</c:v>
                </c:pt>
                <c:pt idx="49">
                  <c:v>43926</c:v>
                </c:pt>
                <c:pt idx="50">
                  <c:v>43927</c:v>
                </c:pt>
                <c:pt idx="51">
                  <c:v>43928</c:v>
                </c:pt>
                <c:pt idx="52">
                  <c:v>43929</c:v>
                </c:pt>
                <c:pt idx="53">
                  <c:v>43930</c:v>
                </c:pt>
                <c:pt idx="54">
                  <c:v>43931</c:v>
                </c:pt>
                <c:pt idx="55">
                  <c:v>43932</c:v>
                </c:pt>
                <c:pt idx="56">
                  <c:v>43933</c:v>
                </c:pt>
                <c:pt idx="57">
                  <c:v>43934</c:v>
                </c:pt>
                <c:pt idx="58">
                  <c:v>43935</c:v>
                </c:pt>
                <c:pt idx="59">
                  <c:v>43936</c:v>
                </c:pt>
                <c:pt idx="60">
                  <c:v>43937</c:v>
                </c:pt>
                <c:pt idx="61">
                  <c:v>43938</c:v>
                </c:pt>
                <c:pt idx="62">
                  <c:v>43939</c:v>
                </c:pt>
                <c:pt idx="63">
                  <c:v>43940</c:v>
                </c:pt>
                <c:pt idx="64">
                  <c:v>43941</c:v>
                </c:pt>
                <c:pt idx="65">
                  <c:v>43942</c:v>
                </c:pt>
                <c:pt idx="66">
                  <c:v>43943</c:v>
                </c:pt>
                <c:pt idx="67">
                  <c:v>43944</c:v>
                </c:pt>
                <c:pt idx="68">
                  <c:v>43945</c:v>
                </c:pt>
                <c:pt idx="69">
                  <c:v>43946</c:v>
                </c:pt>
                <c:pt idx="70">
                  <c:v>43947</c:v>
                </c:pt>
                <c:pt idx="71">
                  <c:v>43948</c:v>
                </c:pt>
                <c:pt idx="72">
                  <c:v>43949</c:v>
                </c:pt>
                <c:pt idx="73">
                  <c:v>43950</c:v>
                </c:pt>
                <c:pt idx="74">
                  <c:v>43951</c:v>
                </c:pt>
                <c:pt idx="75">
                  <c:v>43952</c:v>
                </c:pt>
                <c:pt idx="76">
                  <c:v>43953</c:v>
                </c:pt>
                <c:pt idx="77">
                  <c:v>43954</c:v>
                </c:pt>
                <c:pt idx="78">
                  <c:v>43955</c:v>
                </c:pt>
                <c:pt idx="79">
                  <c:v>43956</c:v>
                </c:pt>
                <c:pt idx="80">
                  <c:v>43957</c:v>
                </c:pt>
              </c:numCache>
            </c:numRef>
          </c:cat>
          <c:val>
            <c:numRef>
              <c:f>electricity!$G$6:$G$86</c:f>
              <c:numCache>
                <c:formatCode>General</c:formatCode>
                <c:ptCount val="81"/>
                <c:pt idx="0">
                  <c:v>26</c:v>
                </c:pt>
                <c:pt idx="1">
                  <c:v>34.571428571428569</c:v>
                </c:pt>
                <c:pt idx="2">
                  <c:v>39.4</c:v>
                </c:pt>
                <c:pt idx="3">
                  <c:v>29.666666666666668</c:v>
                </c:pt>
                <c:pt idx="4">
                  <c:v>27</c:v>
                </c:pt>
                <c:pt idx="5">
                  <c:v>33</c:v>
                </c:pt>
                <c:pt idx="6">
                  <c:v>27.5</c:v>
                </c:pt>
                <c:pt idx="7">
                  <c:v>25</c:v>
                </c:pt>
                <c:pt idx="8">
                  <c:v>30</c:v>
                </c:pt>
                <c:pt idx="9">
                  <c:v>40</c:v>
                </c:pt>
                <c:pt idx="10">
                  <c:v>25.6</c:v>
                </c:pt>
                <c:pt idx="11">
                  <c:v>25</c:v>
                </c:pt>
                <c:pt idx="12">
                  <c:v>27</c:v>
                </c:pt>
                <c:pt idx="13">
                  <c:v>18.5</c:v>
                </c:pt>
                <c:pt idx="14">
                  <c:v>18</c:v>
                </c:pt>
                <c:pt idx="15">
                  <c:v>20</c:v>
                </c:pt>
                <c:pt idx="16">
                  <c:v>21</c:v>
                </c:pt>
                <c:pt idx="17">
                  <c:v>18</c:v>
                </c:pt>
                <c:pt idx="18">
                  <c:v>13.5</c:v>
                </c:pt>
                <c:pt idx="19">
                  <c:v>40</c:v>
                </c:pt>
                <c:pt idx="20">
                  <c:v>14</c:v>
                </c:pt>
                <c:pt idx="21">
                  <c:v>25.666666666666668</c:v>
                </c:pt>
                <c:pt idx="22">
                  <c:v>25</c:v>
                </c:pt>
                <c:pt idx="23">
                  <c:v>21</c:v>
                </c:pt>
                <c:pt idx="24">
                  <c:v>23</c:v>
                </c:pt>
                <c:pt idx="25">
                  <c:v>26</c:v>
                </c:pt>
                <c:pt idx="26">
                  <c:v>24</c:v>
                </c:pt>
                <c:pt idx="27">
                  <c:v>20</c:v>
                </c:pt>
                <c:pt idx="28">
                  <c:v>23</c:v>
                </c:pt>
                <c:pt idx="29">
                  <c:v>24.5</c:v>
                </c:pt>
                <c:pt idx="30">
                  <c:v>30</c:v>
                </c:pt>
                <c:pt idx="31">
                  <c:v>23</c:v>
                </c:pt>
                <c:pt idx="32">
                  <c:v>34</c:v>
                </c:pt>
                <c:pt idx="33">
                  <c:v>18</c:v>
                </c:pt>
                <c:pt idx="34">
                  <c:v>16</c:v>
                </c:pt>
                <c:pt idx="35">
                  <c:v>17</c:v>
                </c:pt>
                <c:pt idx="36">
                  <c:v>17</c:v>
                </c:pt>
                <c:pt idx="37">
                  <c:v>18</c:v>
                </c:pt>
                <c:pt idx="38">
                  <c:v>17</c:v>
                </c:pt>
                <c:pt idx="39">
                  <c:v>17</c:v>
                </c:pt>
                <c:pt idx="40">
                  <c:v>17</c:v>
                </c:pt>
                <c:pt idx="41">
                  <c:v>13</c:v>
                </c:pt>
                <c:pt idx="42">
                  <c:v>11</c:v>
                </c:pt>
                <c:pt idx="43">
                  <c:v>15</c:v>
                </c:pt>
                <c:pt idx="44">
                  <c:v>15</c:v>
                </c:pt>
                <c:pt idx="45">
                  <c:v>18</c:v>
                </c:pt>
                <c:pt idx="46">
                  <c:v>15</c:v>
                </c:pt>
                <c:pt idx="47">
                  <c:v>15</c:v>
                </c:pt>
                <c:pt idx="48">
                  <c:v>14</c:v>
                </c:pt>
                <c:pt idx="49">
                  <c:v>14</c:v>
                </c:pt>
                <c:pt idx="50">
                  <c:v>15</c:v>
                </c:pt>
                <c:pt idx="51">
                  <c:v>15</c:v>
                </c:pt>
                <c:pt idx="52">
                  <c:v>15</c:v>
                </c:pt>
                <c:pt idx="53">
                  <c:v>14</c:v>
                </c:pt>
                <c:pt idx="54">
                  <c:v>11</c:v>
                </c:pt>
                <c:pt idx="55">
                  <c:v>10</c:v>
                </c:pt>
                <c:pt idx="56">
                  <c:v>13</c:v>
                </c:pt>
                <c:pt idx="57">
                  <c:v>16</c:v>
                </c:pt>
                <c:pt idx="58">
                  <c:v>12</c:v>
                </c:pt>
                <c:pt idx="59">
                  <c:v>10</c:v>
                </c:pt>
                <c:pt idx="60">
                  <c:v>12</c:v>
                </c:pt>
                <c:pt idx="61">
                  <c:v>16</c:v>
                </c:pt>
                <c:pt idx="62">
                  <c:v>14</c:v>
                </c:pt>
                <c:pt idx="63">
                  <c:v>12</c:v>
                </c:pt>
                <c:pt idx="64">
                  <c:v>12</c:v>
                </c:pt>
                <c:pt idx="65">
                  <c:v>12</c:v>
                </c:pt>
                <c:pt idx="66">
                  <c:v>14</c:v>
                </c:pt>
                <c:pt idx="67">
                  <c:v>13</c:v>
                </c:pt>
                <c:pt idx="68">
                  <c:v>13</c:v>
                </c:pt>
                <c:pt idx="69">
                  <c:v>12</c:v>
                </c:pt>
                <c:pt idx="70">
                  <c:v>12</c:v>
                </c:pt>
                <c:pt idx="71">
                  <c:v>14</c:v>
                </c:pt>
                <c:pt idx="72">
                  <c:v>11</c:v>
                </c:pt>
                <c:pt idx="73">
                  <c:v>13</c:v>
                </c:pt>
                <c:pt idx="74">
                  <c:v>12</c:v>
                </c:pt>
                <c:pt idx="75">
                  <c:v>12</c:v>
                </c:pt>
                <c:pt idx="76">
                  <c:v>12</c:v>
                </c:pt>
                <c:pt idx="77">
                  <c:v>13</c:v>
                </c:pt>
                <c:pt idx="78">
                  <c:v>15</c:v>
                </c:pt>
                <c:pt idx="79">
                  <c:v>14</c:v>
                </c:pt>
                <c:pt idx="80">
                  <c:v>15</c:v>
                </c:pt>
              </c:numCache>
            </c:numRef>
          </c:val>
          <c:extLst>
            <c:ext xmlns:c16="http://schemas.microsoft.com/office/drawing/2014/chart" uri="{C3380CC4-5D6E-409C-BE32-E72D297353CC}">
              <c16:uniqueId val="{00000001-D2C9-4000-B158-BC784A3E82D2}"/>
            </c:ext>
          </c:extLst>
        </c:ser>
        <c:dLbls>
          <c:showLegendKey val="0"/>
          <c:showVal val="0"/>
          <c:showCatName val="0"/>
          <c:showSerName val="0"/>
          <c:showPercent val="0"/>
          <c:showBubbleSize val="0"/>
        </c:dLbls>
        <c:gapWidth val="150"/>
        <c:axId val="185986048"/>
        <c:axId val="185729792"/>
      </c:barChart>
      <c:dateAx>
        <c:axId val="185986048"/>
        <c:scaling>
          <c:orientation val="minMax"/>
        </c:scaling>
        <c:delete val="0"/>
        <c:axPos val="b"/>
        <c:numFmt formatCode="[$-1010000]yyyy/mm/dd;@" sourceLinked="1"/>
        <c:majorTickMark val="out"/>
        <c:minorTickMark val="none"/>
        <c:tickLblPos val="nextTo"/>
        <c:crossAx val="185729792"/>
        <c:crosses val="autoZero"/>
        <c:auto val="1"/>
        <c:lblOffset val="100"/>
        <c:baseTimeUnit val="days"/>
      </c:dateAx>
      <c:valAx>
        <c:axId val="185729792"/>
        <c:scaling>
          <c:orientation val="minMax"/>
        </c:scaling>
        <c:delete val="0"/>
        <c:axPos val="l"/>
        <c:majorGridlines/>
        <c:numFmt formatCode="General" sourceLinked="1"/>
        <c:majorTickMark val="out"/>
        <c:minorTickMark val="none"/>
        <c:tickLblPos val="nextTo"/>
        <c:crossAx val="185986048"/>
        <c:crosses val="autoZero"/>
        <c:crossBetween val="between"/>
      </c:valAx>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514350</xdr:colOff>
      <xdr:row>2</xdr:row>
      <xdr:rowOff>219074</xdr:rowOff>
    </xdr:from>
    <xdr:to>
      <xdr:col>26</xdr:col>
      <xdr:colOff>485776</xdr:colOff>
      <xdr:row>22</xdr:row>
      <xdr:rowOff>200024</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Q200" totalsRowShown="0" headerRowDxfId="7">
  <autoFilter ref="A2:Q200" xr:uid="{00000000-0009-0000-0100-000001000000}"/>
  <tableColumns count="17">
    <tableColumn id="1" xr3:uid="{00000000-0010-0000-0000-000001000000}" name="Column1" dataDxfId="6"/>
    <tableColumn id="2" xr3:uid="{00000000-0010-0000-0000-000002000000}" name="Column2" dataDxfId="5"/>
    <tableColumn id="3" xr3:uid="{00000000-0010-0000-0000-000003000000}" name="Column3" dataDxfId="4"/>
    <tableColumn id="4" xr3:uid="{00000000-0010-0000-0000-000004000000}" name="Column4" dataDxfId="3"/>
    <tableColumn id="5" xr3:uid="{00000000-0010-0000-0000-000005000000}" name="Column5" dataDxfId="2"/>
    <tableColumn id="6" xr3:uid="{00000000-0010-0000-0000-000006000000}" name="Column6" dataDxfId="1"/>
    <tableColumn id="7" xr3:uid="{00000000-0010-0000-0000-000007000000}" name="Column7" dataDxfId="0"/>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34"/>
  <sheetViews>
    <sheetView rightToLeft="1" topLeftCell="B4" workbookViewId="0">
      <selection activeCell="Q20" sqref="Q20"/>
    </sheetView>
  </sheetViews>
  <sheetFormatPr defaultRowHeight="14.25" x14ac:dyDescent="0.2"/>
  <cols>
    <col min="1" max="2" width="4.375" style="3" customWidth="1"/>
    <col min="3" max="3" width="14.375" style="7" bestFit="1" customWidth="1"/>
    <col min="4" max="4" width="8.25" style="3" bestFit="1" customWidth="1"/>
    <col min="5" max="5" width="24.75" style="3" bestFit="1" customWidth="1"/>
    <col min="6" max="6" width="9.75" style="3" customWidth="1"/>
    <col min="7" max="7" width="9.125" style="3"/>
    <col min="10" max="10" width="14.625" style="19" customWidth="1"/>
    <col min="11" max="11" width="9.125" style="19"/>
  </cols>
  <sheetData>
    <row r="2" spans="1:17" ht="26.25" x14ac:dyDescent="0.4">
      <c r="C2" s="99" t="s">
        <v>117</v>
      </c>
      <c r="D2" s="99"/>
      <c r="E2" s="99"/>
      <c r="F2" s="99"/>
      <c r="G2" s="99"/>
      <c r="H2" s="99"/>
      <c r="I2" s="99"/>
      <c r="J2" s="99"/>
      <c r="K2" s="99"/>
      <c r="L2" s="99"/>
      <c r="M2" s="99"/>
      <c r="N2" s="99"/>
      <c r="O2" s="99"/>
      <c r="P2" s="99"/>
      <c r="Q2" s="99"/>
    </row>
    <row r="3" spans="1:17" ht="56.25" x14ac:dyDescent="0.4">
      <c r="C3" s="1"/>
      <c r="D3" s="18" t="s">
        <v>14</v>
      </c>
      <c r="E3" s="18"/>
      <c r="F3" s="18"/>
      <c r="G3" s="1"/>
      <c r="H3" s="1"/>
      <c r="I3" s="1"/>
      <c r="J3" s="84"/>
      <c r="K3" s="87" t="s">
        <v>14</v>
      </c>
      <c r="L3" s="18"/>
      <c r="M3" s="1"/>
      <c r="N3" s="1"/>
      <c r="O3" s="1"/>
      <c r="P3" s="1"/>
      <c r="Q3" s="1"/>
    </row>
    <row r="4" spans="1:17" ht="18" x14ac:dyDescent="0.25">
      <c r="C4" s="10"/>
      <c r="D4" s="11">
        <f>SUM(D6:D2001)</f>
        <v>9314</v>
      </c>
      <c r="E4" s="11"/>
      <c r="F4" s="11"/>
      <c r="J4" s="85"/>
      <c r="K4" s="88">
        <f>SUM(K6:K2001)</f>
        <v>6291.5</v>
      </c>
      <c r="L4" s="11"/>
    </row>
    <row r="5" spans="1:17" ht="36" x14ac:dyDescent="0.2">
      <c r="A5" s="4" t="s">
        <v>7</v>
      </c>
      <c r="B5" s="4" t="s">
        <v>17</v>
      </c>
      <c r="C5" s="6" t="s">
        <v>1</v>
      </c>
      <c r="D5" s="4" t="s">
        <v>2</v>
      </c>
      <c r="E5" s="4" t="s">
        <v>4</v>
      </c>
      <c r="F5" s="4"/>
      <c r="G5" s="4"/>
      <c r="H5" s="5"/>
      <c r="I5" s="5"/>
      <c r="J5" s="6" t="s">
        <v>1</v>
      </c>
      <c r="K5" s="4" t="s">
        <v>2</v>
      </c>
      <c r="L5" s="4" t="s">
        <v>4</v>
      </c>
      <c r="M5" s="5"/>
    </row>
    <row r="6" spans="1:17" ht="18" x14ac:dyDescent="0.25">
      <c r="A6" s="8">
        <v>1</v>
      </c>
      <c r="B6" s="73">
        <v>1</v>
      </c>
      <c r="C6" s="60">
        <v>44939</v>
      </c>
      <c r="D6" s="55">
        <v>223</v>
      </c>
      <c r="E6" s="8" t="s">
        <v>121</v>
      </c>
      <c r="F6" s="73"/>
      <c r="G6" s="8"/>
      <c r="H6" s="2"/>
      <c r="I6" s="2"/>
      <c r="J6" s="60">
        <v>44947</v>
      </c>
      <c r="K6" s="55">
        <v>662</v>
      </c>
      <c r="L6" s="8" t="s">
        <v>122</v>
      </c>
      <c r="M6" s="2"/>
    </row>
    <row r="7" spans="1:17" ht="18" x14ac:dyDescent="0.25">
      <c r="A7" s="8">
        <v>2</v>
      </c>
      <c r="B7" s="73">
        <v>2</v>
      </c>
      <c r="C7" s="60">
        <v>44970</v>
      </c>
      <c r="D7" s="55">
        <v>613</v>
      </c>
      <c r="E7" s="8" t="s">
        <v>123</v>
      </c>
      <c r="F7" s="73"/>
      <c r="G7" s="8"/>
      <c r="H7" s="2"/>
      <c r="I7" s="2"/>
      <c r="J7" s="60">
        <v>44985</v>
      </c>
      <c r="K7" s="55">
        <v>662</v>
      </c>
      <c r="L7" s="8" t="s">
        <v>124</v>
      </c>
      <c r="M7" s="2"/>
    </row>
    <row r="8" spans="1:17" ht="18" x14ac:dyDescent="0.25">
      <c r="A8" s="8">
        <v>3</v>
      </c>
      <c r="B8" s="73">
        <v>3</v>
      </c>
      <c r="C8" s="60">
        <v>44998</v>
      </c>
      <c r="D8" s="55">
        <v>919</v>
      </c>
      <c r="E8" s="8" t="s">
        <v>125</v>
      </c>
      <c r="F8" s="73"/>
      <c r="G8" s="8"/>
      <c r="H8" s="2"/>
      <c r="I8" s="2"/>
      <c r="J8" s="77"/>
      <c r="K8" s="81"/>
      <c r="L8" s="8"/>
      <c r="M8" s="2"/>
    </row>
    <row r="9" spans="1:17" ht="18" x14ac:dyDescent="0.25">
      <c r="A9" s="8">
        <v>4</v>
      </c>
      <c r="B9" s="73">
        <v>4</v>
      </c>
      <c r="C9" s="60">
        <v>45029</v>
      </c>
      <c r="D9" s="55">
        <v>941</v>
      </c>
      <c r="E9" s="8" t="s">
        <v>126</v>
      </c>
      <c r="F9" s="73"/>
      <c r="G9" s="8"/>
      <c r="H9" s="2"/>
      <c r="I9" s="2"/>
      <c r="J9" s="60">
        <v>45026</v>
      </c>
      <c r="K9" s="55">
        <v>1324</v>
      </c>
      <c r="L9" s="8" t="s">
        <v>127</v>
      </c>
      <c r="M9" s="2"/>
    </row>
    <row r="10" spans="1:17" ht="18" x14ac:dyDescent="0.25">
      <c r="A10" s="8">
        <v>5</v>
      </c>
      <c r="B10" s="73">
        <v>5</v>
      </c>
      <c r="C10" s="60">
        <v>45061</v>
      </c>
      <c r="D10" s="55">
        <v>687</v>
      </c>
      <c r="E10" s="8" t="s">
        <v>128</v>
      </c>
      <c r="F10" s="73"/>
      <c r="G10" s="8"/>
      <c r="H10" s="2"/>
      <c r="I10" s="2"/>
      <c r="J10" s="60">
        <v>45068</v>
      </c>
      <c r="K10" s="55">
        <v>277.5</v>
      </c>
      <c r="L10" s="8" t="s">
        <v>129</v>
      </c>
      <c r="M10" s="2"/>
    </row>
    <row r="11" spans="1:17" ht="18" x14ac:dyDescent="0.25">
      <c r="A11" s="8">
        <v>6</v>
      </c>
      <c r="B11" s="73">
        <v>6</v>
      </c>
      <c r="C11" s="60">
        <v>45092</v>
      </c>
      <c r="D11" s="55">
        <v>543</v>
      </c>
      <c r="E11" s="8" t="s">
        <v>130</v>
      </c>
      <c r="F11" s="73"/>
      <c r="G11" s="8"/>
      <c r="H11" s="2"/>
      <c r="I11" s="2"/>
      <c r="J11" s="60">
        <v>45082</v>
      </c>
      <c r="K11" s="55">
        <v>551</v>
      </c>
      <c r="L11" s="8" t="s">
        <v>131</v>
      </c>
      <c r="M11" s="2"/>
    </row>
    <row r="12" spans="1:17" ht="18" x14ac:dyDescent="0.25">
      <c r="A12" s="8">
        <v>7</v>
      </c>
      <c r="B12" s="73">
        <v>7</v>
      </c>
      <c r="C12" s="60">
        <v>45122</v>
      </c>
      <c r="D12" s="55">
        <v>889</v>
      </c>
      <c r="E12" s="8" t="s">
        <v>132</v>
      </c>
      <c r="F12" s="73"/>
      <c r="G12" s="8"/>
      <c r="H12" s="2"/>
      <c r="I12" s="2"/>
      <c r="J12" s="77"/>
      <c r="K12" s="81"/>
      <c r="L12" s="8"/>
      <c r="M12" s="2"/>
    </row>
    <row r="13" spans="1:17" ht="18" x14ac:dyDescent="0.25">
      <c r="A13" s="8">
        <v>8</v>
      </c>
      <c r="B13" s="73">
        <v>8</v>
      </c>
      <c r="C13" s="60">
        <v>45158</v>
      </c>
      <c r="D13" s="55">
        <v>860</v>
      </c>
      <c r="E13" s="8" t="s">
        <v>133</v>
      </c>
      <c r="F13" s="73"/>
      <c r="G13" s="8"/>
      <c r="H13" s="2"/>
      <c r="I13" s="2"/>
      <c r="J13" s="77"/>
      <c r="K13" s="81"/>
      <c r="L13" s="8"/>
      <c r="M13" s="2"/>
    </row>
    <row r="14" spans="1:17" ht="18" x14ac:dyDescent="0.25">
      <c r="A14" s="8">
        <v>9</v>
      </c>
      <c r="B14" s="73">
        <v>9</v>
      </c>
      <c r="C14" s="60">
        <v>45184</v>
      </c>
      <c r="D14" s="55">
        <v>910</v>
      </c>
      <c r="E14" s="8" t="s">
        <v>134</v>
      </c>
      <c r="F14" s="73"/>
      <c r="G14" s="8"/>
      <c r="H14" s="2"/>
      <c r="I14" s="2"/>
      <c r="J14" s="77"/>
      <c r="K14" s="81"/>
      <c r="L14" s="8"/>
      <c r="M14" s="2"/>
    </row>
    <row r="15" spans="1:17" ht="18" x14ac:dyDescent="0.25">
      <c r="A15" s="8">
        <v>10</v>
      </c>
      <c r="B15" s="73">
        <v>10</v>
      </c>
      <c r="C15" s="60">
        <v>45224</v>
      </c>
      <c r="D15" s="55">
        <v>1023</v>
      </c>
      <c r="E15" s="8" t="s">
        <v>135</v>
      </c>
      <c r="F15" s="73"/>
      <c r="G15" s="8"/>
      <c r="H15" s="2"/>
      <c r="I15" s="2"/>
      <c r="J15" s="77"/>
      <c r="K15" s="81"/>
      <c r="L15" s="8"/>
      <c r="M15" s="2"/>
    </row>
    <row r="16" spans="1:17" ht="18" x14ac:dyDescent="0.25">
      <c r="A16" s="8">
        <v>11</v>
      </c>
      <c r="B16" s="73">
        <v>11</v>
      </c>
      <c r="C16" s="60">
        <v>45245</v>
      </c>
      <c r="D16" s="55">
        <v>1022</v>
      </c>
      <c r="E16" s="8" t="s">
        <v>136</v>
      </c>
      <c r="F16" s="73"/>
      <c r="G16" s="8"/>
      <c r="H16" s="2"/>
      <c r="I16" s="2"/>
      <c r="J16" s="60">
        <v>45249</v>
      </c>
      <c r="K16" s="55">
        <v>2345</v>
      </c>
      <c r="L16" s="8" t="s">
        <v>137</v>
      </c>
      <c r="M16" s="2"/>
    </row>
    <row r="17" spans="1:13" ht="18" x14ac:dyDescent="0.25">
      <c r="A17" s="8">
        <v>12</v>
      </c>
      <c r="B17" s="73">
        <v>12</v>
      </c>
      <c r="C17" s="60">
        <v>45275</v>
      </c>
      <c r="D17" s="55">
        <v>684</v>
      </c>
      <c r="E17" s="8" t="s">
        <v>138</v>
      </c>
      <c r="F17" s="73"/>
      <c r="G17" s="8"/>
      <c r="H17" s="2"/>
      <c r="I17" s="2"/>
      <c r="J17" s="60">
        <v>45281</v>
      </c>
      <c r="K17" s="55">
        <v>470</v>
      </c>
      <c r="L17" s="8" t="s">
        <v>139</v>
      </c>
      <c r="M17" s="2"/>
    </row>
    <row r="18" spans="1:13" ht="18" x14ac:dyDescent="0.25">
      <c r="A18" s="8"/>
      <c r="B18" s="8"/>
      <c r="C18" s="9"/>
      <c r="D18" s="8"/>
      <c r="E18" s="8"/>
      <c r="F18" s="8"/>
      <c r="G18" s="8"/>
      <c r="H18" s="2"/>
      <c r="I18" s="2"/>
      <c r="J18" s="86"/>
      <c r="K18" s="86"/>
      <c r="L18" s="2"/>
      <c r="M18" s="2"/>
    </row>
    <row r="19" spans="1:13" ht="18" x14ac:dyDescent="0.25">
      <c r="A19" s="8"/>
      <c r="B19" s="8"/>
      <c r="C19" s="9"/>
      <c r="D19" s="8"/>
      <c r="E19" s="8"/>
      <c r="F19" s="8"/>
      <c r="G19" s="8"/>
      <c r="H19" s="2"/>
      <c r="I19" s="2"/>
      <c r="J19" s="86"/>
      <c r="K19" s="86"/>
      <c r="L19" s="2"/>
      <c r="M19" s="2"/>
    </row>
    <row r="20" spans="1:13" ht="18" x14ac:dyDescent="0.25">
      <c r="A20" s="8"/>
      <c r="B20" s="8"/>
      <c r="C20" s="9"/>
      <c r="D20" s="8"/>
      <c r="E20" s="8"/>
      <c r="F20" s="8"/>
      <c r="G20" s="8"/>
      <c r="H20" s="2"/>
      <c r="I20" s="2"/>
      <c r="J20" s="86"/>
      <c r="K20" s="86"/>
      <c r="L20" s="2"/>
      <c r="M20" s="2"/>
    </row>
    <row r="21" spans="1:13" ht="18" x14ac:dyDescent="0.25">
      <c r="A21" s="8"/>
      <c r="B21" s="8"/>
      <c r="C21" s="9"/>
      <c r="D21" s="8"/>
      <c r="E21" s="8"/>
      <c r="F21" s="8"/>
      <c r="G21" s="8"/>
      <c r="H21" s="2"/>
      <c r="I21" s="2"/>
      <c r="J21" s="86"/>
      <c r="K21" s="86"/>
      <c r="L21" s="2"/>
      <c r="M21" s="2"/>
    </row>
    <row r="22" spans="1:13" ht="18" x14ac:dyDescent="0.25">
      <c r="A22" s="8"/>
      <c r="B22" s="8"/>
      <c r="C22" s="9"/>
      <c r="D22" s="8"/>
      <c r="E22" s="8"/>
      <c r="F22" s="8"/>
      <c r="G22" s="8"/>
      <c r="H22" s="2"/>
      <c r="I22" s="2"/>
      <c r="J22" s="86"/>
      <c r="K22" s="86"/>
      <c r="L22" s="2"/>
      <c r="M22" s="2"/>
    </row>
    <row r="23" spans="1:13" ht="18" x14ac:dyDescent="0.25">
      <c r="A23" s="8"/>
      <c r="B23" s="8"/>
      <c r="C23" s="9"/>
      <c r="D23" s="8"/>
      <c r="E23" s="8"/>
      <c r="F23" s="8"/>
      <c r="G23" s="8"/>
      <c r="H23" s="2"/>
      <c r="I23" s="2"/>
      <c r="J23" s="86"/>
      <c r="K23" s="86"/>
      <c r="L23" s="2"/>
      <c r="M23" s="2"/>
    </row>
    <row r="24" spans="1:13" ht="18" x14ac:dyDescent="0.25">
      <c r="A24" s="8"/>
      <c r="B24" s="8"/>
      <c r="C24" s="9"/>
      <c r="D24" s="8"/>
      <c r="E24" s="8"/>
      <c r="F24" s="8"/>
      <c r="G24" s="8"/>
      <c r="H24" s="2"/>
      <c r="I24" s="2"/>
      <c r="J24" s="86"/>
      <c r="K24" s="86"/>
      <c r="L24" s="2"/>
      <c r="M24" s="2"/>
    </row>
    <row r="25" spans="1:13" ht="18" x14ac:dyDescent="0.25">
      <c r="A25" s="8"/>
      <c r="B25" s="8"/>
      <c r="C25" s="9"/>
      <c r="D25" s="8"/>
      <c r="E25" s="8"/>
      <c r="F25" s="8"/>
      <c r="G25" s="8"/>
      <c r="H25" s="2"/>
      <c r="I25" s="2"/>
      <c r="J25" s="86"/>
      <c r="K25" s="86"/>
      <c r="L25" s="2"/>
      <c r="M25" s="2"/>
    </row>
    <row r="26" spans="1:13" ht="18" x14ac:dyDescent="0.25">
      <c r="A26" s="8"/>
      <c r="B26" s="8"/>
      <c r="C26" s="9"/>
      <c r="D26" s="8"/>
      <c r="E26" s="8"/>
      <c r="F26" s="8"/>
      <c r="G26" s="8"/>
      <c r="H26" s="2"/>
      <c r="I26" s="2"/>
      <c r="J26" s="86"/>
      <c r="K26" s="86"/>
      <c r="L26" s="2"/>
      <c r="M26" s="2"/>
    </row>
    <row r="27" spans="1:13" ht="18" x14ac:dyDescent="0.25">
      <c r="A27" s="8"/>
      <c r="B27" s="8"/>
      <c r="C27" s="9"/>
      <c r="D27" s="8"/>
      <c r="E27" s="8"/>
      <c r="F27" s="8"/>
      <c r="G27" s="8"/>
      <c r="H27" s="2"/>
      <c r="I27" s="2"/>
      <c r="J27" s="86"/>
      <c r="K27" s="86"/>
      <c r="L27" s="2"/>
      <c r="M27" s="2"/>
    </row>
    <row r="28" spans="1:13" ht="18" x14ac:dyDescent="0.25">
      <c r="A28" s="8"/>
      <c r="B28" s="8"/>
      <c r="C28" s="9"/>
      <c r="D28" s="8"/>
      <c r="E28" s="8"/>
      <c r="F28" s="8"/>
      <c r="G28" s="8"/>
      <c r="H28" s="2"/>
      <c r="I28" s="2"/>
      <c r="J28" s="86"/>
      <c r="K28" s="86"/>
      <c r="L28" s="2"/>
      <c r="M28" s="2"/>
    </row>
    <row r="29" spans="1:13" ht="18" x14ac:dyDescent="0.25">
      <c r="A29" s="8"/>
      <c r="B29" s="8"/>
      <c r="C29" s="9"/>
      <c r="D29" s="8"/>
      <c r="E29" s="8"/>
      <c r="F29" s="8"/>
      <c r="G29" s="8"/>
      <c r="H29" s="2"/>
      <c r="I29" s="2"/>
      <c r="J29" s="86"/>
      <c r="K29" s="86"/>
      <c r="L29" s="2"/>
      <c r="M29" s="2"/>
    </row>
    <row r="30" spans="1:13" ht="18" x14ac:dyDescent="0.25">
      <c r="A30" s="8"/>
      <c r="B30" s="8"/>
      <c r="C30" s="9"/>
      <c r="D30" s="8"/>
      <c r="E30" s="8"/>
      <c r="F30" s="8"/>
      <c r="G30" s="8"/>
      <c r="H30" s="2"/>
      <c r="I30" s="2"/>
      <c r="J30" s="86"/>
      <c r="K30" s="86"/>
      <c r="L30" s="2"/>
      <c r="M30" s="2"/>
    </row>
    <row r="31" spans="1:13" ht="18" x14ac:dyDescent="0.25">
      <c r="A31" s="8"/>
      <c r="B31" s="8"/>
      <c r="C31" s="9"/>
      <c r="D31" s="8"/>
      <c r="E31" s="8"/>
      <c r="F31" s="8"/>
      <c r="G31" s="8"/>
      <c r="H31" s="2"/>
      <c r="I31" s="2"/>
      <c r="J31" s="86"/>
      <c r="K31" s="86"/>
      <c r="L31" s="2"/>
      <c r="M31" s="2"/>
    </row>
    <row r="32" spans="1:13" ht="18" x14ac:dyDescent="0.25">
      <c r="A32" s="8"/>
      <c r="B32" s="8"/>
      <c r="C32" s="9"/>
      <c r="D32" s="8"/>
      <c r="E32" s="8"/>
      <c r="F32" s="8"/>
      <c r="G32" s="8"/>
      <c r="H32" s="2"/>
      <c r="I32" s="2"/>
      <c r="J32" s="86"/>
      <c r="K32" s="86"/>
      <c r="L32" s="2"/>
      <c r="M32" s="2"/>
    </row>
    <row r="33" spans="1:13" ht="18" x14ac:dyDescent="0.25">
      <c r="A33" s="8"/>
      <c r="B33" s="8"/>
      <c r="C33" s="9"/>
      <c r="D33" s="8"/>
      <c r="E33" s="8"/>
      <c r="F33" s="8"/>
      <c r="G33" s="8"/>
      <c r="H33" s="2"/>
      <c r="I33" s="2"/>
      <c r="J33" s="86"/>
      <c r="K33" s="86"/>
      <c r="L33" s="2"/>
      <c r="M33" s="2"/>
    </row>
    <row r="34" spans="1:13" ht="18" x14ac:dyDescent="0.25">
      <c r="A34" s="8"/>
      <c r="B34" s="8"/>
      <c r="C34" s="9"/>
      <c r="D34" s="8"/>
      <c r="E34" s="8"/>
      <c r="F34" s="8"/>
      <c r="G34" s="8"/>
      <c r="H34" s="2"/>
      <c r="I34" s="2"/>
      <c r="J34" s="86"/>
      <c r="K34" s="86"/>
      <c r="L34" s="2"/>
      <c r="M34" s="2"/>
    </row>
  </sheetData>
  <mergeCells count="1">
    <mergeCell ref="C2:Q2"/>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3"/>
  <sheetViews>
    <sheetView rightToLeft="1" topLeftCell="A3" workbookViewId="0">
      <selection activeCell="J5" sqref="I5:J12"/>
    </sheetView>
  </sheetViews>
  <sheetFormatPr defaultRowHeight="14.25" x14ac:dyDescent="0.2"/>
  <cols>
    <col min="1" max="1" width="4.125" style="3" bestFit="1" customWidth="1"/>
    <col min="2" max="2" width="6" style="3" customWidth="1"/>
    <col min="3" max="3" width="11.125" style="66" customWidth="1"/>
    <col min="4" max="4" width="9.75" style="66" customWidth="1"/>
    <col min="5" max="5" width="9.125" style="93"/>
    <col min="6" max="6" width="14.875" bestFit="1" customWidth="1"/>
  </cols>
  <sheetData>
    <row r="1" spans="1:17" ht="8.25" customHeight="1" x14ac:dyDescent="0.2"/>
    <row r="2" spans="1:17" ht="59.25" customHeight="1" x14ac:dyDescent="0.2">
      <c r="C2" s="100" t="s">
        <v>212</v>
      </c>
      <c r="D2" s="100"/>
      <c r="E2" s="100"/>
      <c r="F2" s="100"/>
      <c r="G2" s="100"/>
      <c r="H2" s="100"/>
      <c r="I2" s="100"/>
      <c r="J2" s="100"/>
      <c r="K2" s="100"/>
      <c r="L2" s="100"/>
      <c r="M2" s="100"/>
      <c r="N2" s="100"/>
      <c r="O2" s="19"/>
    </row>
    <row r="3" spans="1:17" ht="20.25" x14ac:dyDescent="0.25">
      <c r="C3" s="83"/>
      <c r="F3" s="101" t="s">
        <v>236</v>
      </c>
      <c r="G3" s="101"/>
      <c r="H3" s="101"/>
      <c r="I3" s="101"/>
      <c r="J3" s="101"/>
      <c r="K3" s="101"/>
      <c r="L3" s="101"/>
      <c r="M3" s="101"/>
      <c r="N3" s="101"/>
      <c r="O3" s="101"/>
      <c r="P3" s="101"/>
      <c r="Q3" s="101"/>
    </row>
    <row r="4" spans="1:17" ht="36" x14ac:dyDescent="0.2">
      <c r="A4" s="12" t="s">
        <v>7</v>
      </c>
      <c r="B4" s="12" t="s">
        <v>33</v>
      </c>
      <c r="C4" s="14" t="s">
        <v>30</v>
      </c>
      <c r="D4" s="15" t="s">
        <v>31</v>
      </c>
      <c r="E4" s="17" t="s">
        <v>32</v>
      </c>
      <c r="F4" s="16" t="s">
        <v>34</v>
      </c>
      <c r="G4" s="16" t="s">
        <v>77</v>
      </c>
      <c r="H4" s="16"/>
      <c r="I4" s="16"/>
      <c r="J4" s="16" t="s">
        <v>211</v>
      </c>
    </row>
    <row r="5" spans="1:17" ht="18" x14ac:dyDescent="0.25">
      <c r="A5" s="8">
        <v>1</v>
      </c>
      <c r="B5" s="8">
        <v>1</v>
      </c>
      <c r="C5" s="91">
        <v>0</v>
      </c>
      <c r="D5" s="92">
        <v>0</v>
      </c>
      <c r="E5" s="94">
        <f>D5-C5</f>
        <v>0</v>
      </c>
      <c r="F5" s="9">
        <v>46101</v>
      </c>
      <c r="G5" s="2" t="s">
        <v>210</v>
      </c>
      <c r="H5" s="2"/>
      <c r="I5" s="2"/>
      <c r="J5" s="2"/>
    </row>
    <row r="6" spans="1:17" ht="18" x14ac:dyDescent="0.25">
      <c r="A6" s="8">
        <v>2</v>
      </c>
      <c r="B6" s="8">
        <v>2</v>
      </c>
      <c r="C6" s="91">
        <v>0</v>
      </c>
      <c r="D6" s="92">
        <v>0</v>
      </c>
      <c r="E6" s="94">
        <f t="shared" ref="E6:E18" si="0">D6-C6</f>
        <v>0</v>
      </c>
      <c r="F6" s="9">
        <v>46098</v>
      </c>
      <c r="G6" s="2" t="s">
        <v>160</v>
      </c>
      <c r="H6" s="2"/>
      <c r="I6" s="2"/>
      <c r="J6" s="2"/>
    </row>
    <row r="7" spans="1:17" ht="18" x14ac:dyDescent="0.25">
      <c r="A7" s="8">
        <v>3</v>
      </c>
      <c r="B7" s="8">
        <v>3</v>
      </c>
      <c r="C7" s="91">
        <v>0</v>
      </c>
      <c r="D7" s="92">
        <v>0</v>
      </c>
      <c r="E7" s="94">
        <f t="shared" si="0"/>
        <v>0</v>
      </c>
      <c r="F7" s="9">
        <v>46115</v>
      </c>
      <c r="G7" s="2" t="s">
        <v>141</v>
      </c>
      <c r="H7" s="2"/>
      <c r="I7" s="2"/>
      <c r="J7" s="2"/>
    </row>
    <row r="8" spans="1:17" ht="18" x14ac:dyDescent="0.25">
      <c r="A8" s="8">
        <v>4</v>
      </c>
      <c r="B8" s="8">
        <v>4</v>
      </c>
      <c r="C8" s="91">
        <v>0</v>
      </c>
      <c r="D8" s="92">
        <v>0</v>
      </c>
      <c r="E8" s="94">
        <f t="shared" si="0"/>
        <v>0</v>
      </c>
      <c r="F8" s="9">
        <v>46098</v>
      </c>
      <c r="G8" s="2" t="s">
        <v>161</v>
      </c>
      <c r="H8" s="2"/>
      <c r="I8" s="2"/>
      <c r="J8" s="2"/>
    </row>
    <row r="9" spans="1:17" ht="18" x14ac:dyDescent="0.25">
      <c r="A9" s="8">
        <v>5</v>
      </c>
      <c r="B9" s="8">
        <v>5</v>
      </c>
      <c r="C9" s="91">
        <v>0</v>
      </c>
      <c r="D9" s="92">
        <v>0</v>
      </c>
      <c r="E9" s="94">
        <f t="shared" si="0"/>
        <v>0</v>
      </c>
      <c r="F9" s="9">
        <v>46098</v>
      </c>
      <c r="G9" s="2" t="s">
        <v>164</v>
      </c>
      <c r="H9" s="2"/>
      <c r="I9" s="2"/>
      <c r="J9" s="2"/>
    </row>
    <row r="10" spans="1:17" ht="18" x14ac:dyDescent="0.25">
      <c r="A10" s="8">
        <v>6</v>
      </c>
      <c r="B10" s="8">
        <v>6</v>
      </c>
      <c r="C10" s="91">
        <v>0</v>
      </c>
      <c r="D10" s="92">
        <v>0</v>
      </c>
      <c r="E10" s="94">
        <f t="shared" si="0"/>
        <v>0</v>
      </c>
      <c r="F10" s="9">
        <v>46098</v>
      </c>
      <c r="G10" s="2" t="s">
        <v>154</v>
      </c>
      <c r="H10" s="2"/>
      <c r="I10" s="2"/>
      <c r="J10" s="2"/>
    </row>
    <row r="11" spans="1:17" ht="18" x14ac:dyDescent="0.25">
      <c r="A11" s="8">
        <v>7</v>
      </c>
      <c r="B11" s="8">
        <v>7</v>
      </c>
      <c r="C11" s="91">
        <v>0</v>
      </c>
      <c r="D11" s="92">
        <v>0</v>
      </c>
      <c r="E11" s="94">
        <f t="shared" si="0"/>
        <v>0</v>
      </c>
      <c r="F11" s="9"/>
      <c r="G11" s="2" t="s">
        <v>162</v>
      </c>
      <c r="H11" s="2"/>
      <c r="I11" s="2"/>
      <c r="J11" s="2"/>
    </row>
    <row r="12" spans="1:17" ht="18" x14ac:dyDescent="0.25">
      <c r="A12" s="8">
        <v>8</v>
      </c>
      <c r="B12" s="8">
        <v>8</v>
      </c>
      <c r="C12" s="91">
        <v>0</v>
      </c>
      <c r="D12" s="92">
        <v>0</v>
      </c>
      <c r="E12" s="94">
        <f t="shared" si="0"/>
        <v>0</v>
      </c>
      <c r="F12" s="9">
        <v>46098</v>
      </c>
      <c r="G12" s="2" t="s">
        <v>163</v>
      </c>
      <c r="H12" s="2"/>
      <c r="I12" s="2"/>
      <c r="J12" s="2"/>
    </row>
    <row r="13" spans="1:17" ht="18" x14ac:dyDescent="0.25">
      <c r="A13" s="8">
        <v>9</v>
      </c>
      <c r="B13" s="8">
        <v>9</v>
      </c>
      <c r="C13" s="91">
        <v>0</v>
      </c>
      <c r="D13" s="92">
        <v>0</v>
      </c>
      <c r="E13" s="94">
        <f t="shared" si="0"/>
        <v>0</v>
      </c>
      <c r="F13" s="9">
        <v>46098</v>
      </c>
      <c r="G13" s="2" t="s">
        <v>184</v>
      </c>
      <c r="H13" s="2"/>
      <c r="I13" s="2"/>
      <c r="J13" s="2"/>
    </row>
    <row r="14" spans="1:17" ht="18" x14ac:dyDescent="0.25">
      <c r="A14" s="8">
        <v>10</v>
      </c>
      <c r="B14" s="8">
        <v>10</v>
      </c>
      <c r="C14" s="91">
        <v>0</v>
      </c>
      <c r="D14" s="92">
        <v>0</v>
      </c>
      <c r="E14" s="94">
        <f t="shared" si="0"/>
        <v>0</v>
      </c>
      <c r="F14" s="9">
        <v>46098</v>
      </c>
      <c r="G14" s="2" t="s">
        <v>154</v>
      </c>
      <c r="H14" s="2"/>
      <c r="I14" s="2"/>
      <c r="J14" s="2"/>
    </row>
    <row r="15" spans="1:17" ht="18" x14ac:dyDescent="0.25">
      <c r="A15" s="8">
        <v>11</v>
      </c>
      <c r="B15" s="8">
        <v>11</v>
      </c>
      <c r="C15" s="91">
        <v>0</v>
      </c>
      <c r="D15" s="92">
        <v>0</v>
      </c>
      <c r="E15" s="94">
        <f t="shared" si="0"/>
        <v>0</v>
      </c>
      <c r="F15" s="9">
        <v>46098</v>
      </c>
      <c r="G15" s="2" t="s">
        <v>187</v>
      </c>
      <c r="H15" s="2"/>
      <c r="I15" s="2"/>
      <c r="J15" s="2"/>
    </row>
    <row r="16" spans="1:17" ht="18" x14ac:dyDescent="0.25">
      <c r="A16" s="8">
        <v>12</v>
      </c>
      <c r="B16" s="8">
        <v>12</v>
      </c>
      <c r="C16" s="91">
        <v>0</v>
      </c>
      <c r="D16" s="92">
        <v>0</v>
      </c>
      <c r="E16" s="94">
        <f t="shared" si="0"/>
        <v>0</v>
      </c>
      <c r="F16" s="9">
        <v>46098</v>
      </c>
      <c r="G16" s="2" t="s">
        <v>142</v>
      </c>
      <c r="H16" s="2"/>
      <c r="I16" s="2"/>
      <c r="J16" s="2"/>
    </row>
    <row r="17" spans="1:10" ht="18" x14ac:dyDescent="0.25">
      <c r="A17" s="8">
        <v>13</v>
      </c>
      <c r="B17" s="8">
        <v>13</v>
      </c>
      <c r="C17" s="91">
        <v>0</v>
      </c>
      <c r="D17" s="92">
        <v>0</v>
      </c>
      <c r="E17" s="94">
        <f t="shared" si="0"/>
        <v>0</v>
      </c>
      <c r="F17" s="9">
        <v>46098</v>
      </c>
      <c r="G17" s="2" t="s">
        <v>159</v>
      </c>
      <c r="H17" s="2"/>
      <c r="I17" s="2"/>
      <c r="J17" s="2"/>
    </row>
    <row r="18" spans="1:10" ht="18" x14ac:dyDescent="0.25">
      <c r="A18" s="8">
        <v>14</v>
      </c>
      <c r="B18" s="8">
        <v>14</v>
      </c>
      <c r="C18" s="91">
        <v>0</v>
      </c>
      <c r="D18" s="92">
        <v>0</v>
      </c>
      <c r="E18" s="94">
        <f t="shared" si="0"/>
        <v>0</v>
      </c>
      <c r="F18" s="9">
        <v>46098</v>
      </c>
      <c r="G18" s="2" t="s">
        <v>159</v>
      </c>
      <c r="H18" s="2"/>
      <c r="I18" s="2"/>
      <c r="J18" s="2"/>
    </row>
    <row r="19" spans="1:10" ht="18" x14ac:dyDescent="0.25">
      <c r="A19" s="8"/>
      <c r="B19" s="8"/>
      <c r="C19" s="33"/>
      <c r="D19" s="33"/>
      <c r="E19" s="95"/>
      <c r="F19" s="2"/>
      <c r="G19" s="2"/>
      <c r="H19" s="2"/>
      <c r="I19" s="2"/>
      <c r="J19" s="2"/>
    </row>
    <row r="20" spans="1:10" ht="18" x14ac:dyDescent="0.25">
      <c r="A20" s="8"/>
      <c r="B20" s="8"/>
      <c r="C20" s="33"/>
      <c r="D20" s="33"/>
      <c r="E20" s="95"/>
      <c r="F20" s="2"/>
      <c r="G20" s="2"/>
      <c r="H20" s="2"/>
      <c r="I20" s="2"/>
      <c r="J20" s="2"/>
    </row>
    <row r="21" spans="1:10" ht="18" x14ac:dyDescent="0.25">
      <c r="A21" s="8"/>
      <c r="B21" s="8"/>
      <c r="C21" s="33"/>
      <c r="D21" s="33"/>
      <c r="E21" s="95"/>
      <c r="F21" s="2"/>
      <c r="G21" s="2"/>
      <c r="H21" s="2"/>
      <c r="I21" s="2"/>
      <c r="J21" s="2"/>
    </row>
    <row r="22" spans="1:10" ht="18" x14ac:dyDescent="0.25">
      <c r="A22" s="8"/>
      <c r="B22" s="8"/>
      <c r="C22" s="33"/>
      <c r="D22" s="33"/>
      <c r="E22" s="95"/>
      <c r="F22" s="2"/>
      <c r="G22" s="2"/>
      <c r="H22" s="2"/>
      <c r="I22" s="2"/>
      <c r="J22" s="2"/>
    </row>
    <row r="23" spans="1:10" ht="18" x14ac:dyDescent="0.25">
      <c r="A23" s="8"/>
      <c r="B23" s="8"/>
      <c r="C23" s="33"/>
      <c r="D23" s="33"/>
      <c r="E23" s="95"/>
      <c r="F23" s="2"/>
      <c r="G23" s="2"/>
      <c r="H23" s="2"/>
      <c r="I23" s="2"/>
      <c r="J23" s="2"/>
    </row>
    <row r="24" spans="1:10" ht="18" x14ac:dyDescent="0.25">
      <c r="A24" s="8"/>
      <c r="B24" s="8"/>
      <c r="C24" s="33"/>
      <c r="D24" s="33"/>
      <c r="E24" s="95"/>
      <c r="F24" s="2"/>
      <c r="G24" s="2"/>
      <c r="H24" s="2"/>
      <c r="I24" s="2"/>
      <c r="J24" s="2"/>
    </row>
    <row r="25" spans="1:10" ht="18" x14ac:dyDescent="0.25">
      <c r="A25" s="8"/>
      <c r="B25" s="8"/>
      <c r="C25" s="33"/>
      <c r="D25" s="33"/>
      <c r="E25" s="95"/>
      <c r="F25" s="2"/>
      <c r="G25" s="2"/>
      <c r="H25" s="2"/>
      <c r="I25" s="2"/>
      <c r="J25" s="2"/>
    </row>
    <row r="26" spans="1:10" ht="18" x14ac:dyDescent="0.25">
      <c r="A26" s="8"/>
      <c r="B26" s="8"/>
      <c r="C26" s="33"/>
      <c r="D26" s="33"/>
      <c r="E26" s="95"/>
      <c r="F26" s="2"/>
      <c r="G26" s="2"/>
      <c r="H26" s="2"/>
      <c r="I26" s="2"/>
      <c r="J26" s="2"/>
    </row>
    <row r="27" spans="1:10" ht="18" x14ac:dyDescent="0.25">
      <c r="A27" s="8"/>
      <c r="B27" s="8"/>
      <c r="C27" s="33"/>
      <c r="D27" s="33"/>
      <c r="E27" s="95"/>
      <c r="F27" s="2"/>
      <c r="G27" s="2"/>
      <c r="H27" s="2"/>
      <c r="I27" s="2"/>
      <c r="J27" s="2"/>
    </row>
    <row r="28" spans="1:10" ht="18" x14ac:dyDescent="0.25">
      <c r="A28" s="8"/>
      <c r="B28" s="8"/>
      <c r="C28" s="33"/>
      <c r="D28" s="33"/>
      <c r="E28" s="95"/>
      <c r="F28" s="2"/>
      <c r="G28" s="2"/>
      <c r="H28" s="2"/>
      <c r="I28" s="2"/>
      <c r="J28" s="2"/>
    </row>
    <row r="29" spans="1:10" ht="18" x14ac:dyDescent="0.25">
      <c r="A29" s="8"/>
      <c r="B29" s="8"/>
      <c r="C29" s="33"/>
      <c r="D29" s="33"/>
      <c r="E29" s="95"/>
      <c r="F29" s="2"/>
      <c r="G29" s="2"/>
      <c r="H29" s="2"/>
      <c r="I29" s="2"/>
      <c r="J29" s="2"/>
    </row>
    <row r="30" spans="1:10" ht="18" x14ac:dyDescent="0.25">
      <c r="A30" s="8"/>
      <c r="B30" s="8"/>
      <c r="C30" s="33"/>
      <c r="D30" s="33"/>
      <c r="E30" s="95"/>
      <c r="F30" s="2"/>
      <c r="G30" s="2"/>
      <c r="H30" s="2"/>
      <c r="I30" s="2"/>
      <c r="J30" s="2"/>
    </row>
    <row r="31" spans="1:10" ht="18" x14ac:dyDescent="0.25">
      <c r="A31" s="8"/>
      <c r="B31" s="8"/>
      <c r="C31" s="33"/>
      <c r="D31" s="33"/>
      <c r="E31" s="95"/>
      <c r="F31" s="2"/>
      <c r="G31" s="2"/>
      <c r="H31" s="2"/>
      <c r="I31" s="2"/>
      <c r="J31" s="2"/>
    </row>
    <row r="32" spans="1:10" ht="18" x14ac:dyDescent="0.25">
      <c r="A32" s="8"/>
      <c r="B32" s="8"/>
      <c r="C32" s="33"/>
      <c r="D32" s="33"/>
      <c r="E32" s="95"/>
      <c r="F32" s="2"/>
      <c r="G32" s="2"/>
      <c r="H32" s="2"/>
      <c r="I32" s="2"/>
      <c r="J32" s="2"/>
    </row>
    <row r="33" spans="1:10" ht="18" x14ac:dyDescent="0.25">
      <c r="A33" s="8"/>
      <c r="B33" s="8"/>
      <c r="C33" s="33"/>
      <c r="D33" s="33"/>
      <c r="E33" s="95"/>
      <c r="F33" s="2"/>
      <c r="G33" s="2"/>
      <c r="H33" s="2"/>
      <c r="I33" s="2"/>
      <c r="J33" s="2"/>
    </row>
  </sheetData>
  <mergeCells count="2">
    <mergeCell ref="C2:N2"/>
    <mergeCell ref="F3:Q3"/>
  </mergeCells>
  <pageMargins left="0.7" right="0.7"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3"/>
  <sheetViews>
    <sheetView rightToLeft="1" topLeftCell="A3" workbookViewId="0">
      <selection activeCell="D5" sqref="C5:D18"/>
    </sheetView>
  </sheetViews>
  <sheetFormatPr defaultRowHeight="14.25" x14ac:dyDescent="0.2"/>
  <cols>
    <col min="1" max="1" width="4.125" style="3" bestFit="1" customWidth="1"/>
    <col min="2" max="2" width="6" style="3" customWidth="1"/>
    <col min="3" max="3" width="11.125" style="66" customWidth="1"/>
    <col min="4" max="4" width="9.75" style="66" customWidth="1"/>
    <col min="5" max="5" width="9.125" style="93"/>
    <col min="6" max="6" width="14.875" bestFit="1" customWidth="1"/>
  </cols>
  <sheetData>
    <row r="1" spans="1:17" ht="8.25" customHeight="1" x14ac:dyDescent="0.2"/>
    <row r="2" spans="1:17" ht="59.25" customHeight="1" x14ac:dyDescent="0.2">
      <c r="C2" s="100" t="s">
        <v>185</v>
      </c>
      <c r="D2" s="100"/>
      <c r="E2" s="100"/>
      <c r="F2" s="100"/>
      <c r="G2" s="100"/>
      <c r="H2" s="100"/>
      <c r="I2" s="100"/>
      <c r="J2" s="100"/>
      <c r="K2" s="100"/>
      <c r="L2" s="100"/>
      <c r="M2" s="100"/>
      <c r="N2" s="100"/>
      <c r="O2" s="19"/>
    </row>
    <row r="3" spans="1:17" ht="20.25" x14ac:dyDescent="0.25">
      <c r="C3" s="83"/>
      <c r="F3" s="101" t="s">
        <v>188</v>
      </c>
      <c r="G3" s="101"/>
      <c r="H3" s="101"/>
      <c r="I3" s="101"/>
      <c r="J3" s="101"/>
      <c r="K3" s="101"/>
      <c r="L3" s="101"/>
      <c r="M3" s="101"/>
      <c r="N3" s="101"/>
      <c r="O3" s="101"/>
      <c r="P3" s="101"/>
      <c r="Q3" s="101"/>
    </row>
    <row r="4" spans="1:17" ht="36" x14ac:dyDescent="0.2">
      <c r="A4" s="12" t="s">
        <v>7</v>
      </c>
      <c r="B4" s="12" t="s">
        <v>33</v>
      </c>
      <c r="C4" s="14" t="s">
        <v>30</v>
      </c>
      <c r="D4" s="15" t="s">
        <v>31</v>
      </c>
      <c r="E4" s="17" t="s">
        <v>32</v>
      </c>
      <c r="F4" s="16" t="s">
        <v>34</v>
      </c>
      <c r="G4" s="16" t="s">
        <v>77</v>
      </c>
      <c r="H4" s="16"/>
      <c r="I4" s="16"/>
      <c r="J4" s="16"/>
    </row>
    <row r="5" spans="1:17" ht="18" x14ac:dyDescent="0.25">
      <c r="A5" s="8">
        <v>1</v>
      </c>
      <c r="B5" s="8">
        <v>1</v>
      </c>
      <c r="C5" s="91"/>
      <c r="D5" s="92"/>
      <c r="E5" s="94">
        <f>D5-C5</f>
        <v>0</v>
      </c>
      <c r="F5" s="9"/>
      <c r="G5" s="2" t="s">
        <v>186</v>
      </c>
      <c r="H5" s="2"/>
      <c r="I5" s="2"/>
      <c r="J5" s="2"/>
    </row>
    <row r="6" spans="1:17" ht="18" x14ac:dyDescent="0.25">
      <c r="A6" s="8">
        <v>2</v>
      </c>
      <c r="B6" s="8">
        <v>2</v>
      </c>
      <c r="C6" s="91"/>
      <c r="D6" s="92"/>
      <c r="E6" s="94">
        <f t="shared" ref="E6:E18" si="0">D6-C6</f>
        <v>0</v>
      </c>
      <c r="F6" s="9"/>
      <c r="G6" s="2" t="s">
        <v>160</v>
      </c>
      <c r="H6" s="2"/>
      <c r="I6" s="2"/>
      <c r="J6" s="2"/>
    </row>
    <row r="7" spans="1:17" ht="18" x14ac:dyDescent="0.25">
      <c r="A7" s="8">
        <v>3</v>
      </c>
      <c r="B7" s="8">
        <v>3</v>
      </c>
      <c r="C7" s="91"/>
      <c r="D7" s="92"/>
      <c r="E7" s="94">
        <f t="shared" si="0"/>
        <v>0</v>
      </c>
      <c r="F7" s="9"/>
      <c r="G7" s="2" t="s">
        <v>141</v>
      </c>
      <c r="H7" s="2"/>
      <c r="I7" s="2"/>
      <c r="J7" s="2"/>
    </row>
    <row r="8" spans="1:17" ht="18" x14ac:dyDescent="0.25">
      <c r="A8" s="8">
        <v>4</v>
      </c>
      <c r="B8" s="8">
        <v>4</v>
      </c>
      <c r="C8" s="91"/>
      <c r="D8" s="92"/>
      <c r="E8" s="94">
        <f t="shared" si="0"/>
        <v>0</v>
      </c>
      <c r="F8" s="9"/>
      <c r="G8" s="2" t="s">
        <v>161</v>
      </c>
      <c r="H8" s="2"/>
      <c r="I8" s="2"/>
      <c r="J8" s="2"/>
    </row>
    <row r="9" spans="1:17" ht="18" x14ac:dyDescent="0.25">
      <c r="A9" s="8">
        <v>5</v>
      </c>
      <c r="B9" s="8">
        <v>5</v>
      </c>
      <c r="C9" s="91"/>
      <c r="D9" s="92"/>
      <c r="E9" s="94">
        <f t="shared" si="0"/>
        <v>0</v>
      </c>
      <c r="F9" s="9"/>
      <c r="G9" s="2" t="s">
        <v>164</v>
      </c>
      <c r="H9" s="2"/>
      <c r="I9" s="2"/>
      <c r="J9" s="2"/>
    </row>
    <row r="10" spans="1:17" ht="18" x14ac:dyDescent="0.25">
      <c r="A10" s="8">
        <v>6</v>
      </c>
      <c r="B10" s="8">
        <v>6</v>
      </c>
      <c r="C10" s="91"/>
      <c r="D10" s="92"/>
      <c r="E10" s="94">
        <f t="shared" si="0"/>
        <v>0</v>
      </c>
      <c r="F10" s="9"/>
      <c r="G10" s="2" t="s">
        <v>154</v>
      </c>
      <c r="H10" s="2"/>
      <c r="I10" s="2"/>
      <c r="J10" s="2"/>
    </row>
    <row r="11" spans="1:17" ht="18" x14ac:dyDescent="0.25">
      <c r="A11" s="8">
        <v>7</v>
      </c>
      <c r="B11" s="8">
        <v>7</v>
      </c>
      <c r="C11" s="91"/>
      <c r="D11" s="92"/>
      <c r="E11" s="94">
        <f t="shared" si="0"/>
        <v>0</v>
      </c>
      <c r="F11" s="9"/>
      <c r="G11" s="2" t="s">
        <v>162</v>
      </c>
      <c r="H11" s="2"/>
      <c r="I11" s="2"/>
      <c r="J11" s="2"/>
    </row>
    <row r="12" spans="1:17" ht="18" x14ac:dyDescent="0.25">
      <c r="A12" s="8">
        <v>8</v>
      </c>
      <c r="B12" s="8">
        <v>8</v>
      </c>
      <c r="C12" s="91"/>
      <c r="D12" s="92"/>
      <c r="E12" s="94">
        <f t="shared" si="0"/>
        <v>0</v>
      </c>
      <c r="F12" s="9"/>
      <c r="G12" s="2" t="s">
        <v>163</v>
      </c>
      <c r="H12" s="2"/>
      <c r="I12" s="2"/>
      <c r="J12" s="2"/>
    </row>
    <row r="13" spans="1:17" ht="18" x14ac:dyDescent="0.25">
      <c r="A13" s="8">
        <v>9</v>
      </c>
      <c r="B13" s="8">
        <v>9</v>
      </c>
      <c r="C13" s="91"/>
      <c r="D13" s="92"/>
      <c r="E13" s="94">
        <f t="shared" si="0"/>
        <v>0</v>
      </c>
      <c r="F13" s="9"/>
      <c r="G13" s="2" t="s">
        <v>184</v>
      </c>
      <c r="H13" s="2"/>
      <c r="I13" s="2"/>
      <c r="J13" s="2"/>
    </row>
    <row r="14" spans="1:17" ht="18" x14ac:dyDescent="0.25">
      <c r="A14" s="8">
        <v>10</v>
      </c>
      <c r="B14" s="8">
        <v>10</v>
      </c>
      <c r="C14" s="91"/>
      <c r="D14" s="92"/>
      <c r="E14" s="94">
        <f t="shared" si="0"/>
        <v>0</v>
      </c>
      <c r="F14" s="9"/>
      <c r="G14" s="2" t="s">
        <v>154</v>
      </c>
      <c r="H14" s="2"/>
      <c r="I14" s="2"/>
      <c r="J14" s="2"/>
    </row>
    <row r="15" spans="1:17" ht="18" x14ac:dyDescent="0.25">
      <c r="A15" s="8">
        <v>11</v>
      </c>
      <c r="B15" s="8">
        <v>11</v>
      </c>
      <c r="C15" s="91"/>
      <c r="D15" s="92"/>
      <c r="E15" s="94">
        <f t="shared" si="0"/>
        <v>0</v>
      </c>
      <c r="F15" s="9"/>
      <c r="G15" s="2" t="s">
        <v>187</v>
      </c>
      <c r="H15" s="2"/>
      <c r="I15" s="2"/>
      <c r="J15" s="2"/>
    </row>
    <row r="16" spans="1:17" ht="18" x14ac:dyDescent="0.25">
      <c r="A16" s="8">
        <v>12</v>
      </c>
      <c r="B16" s="8">
        <v>12</v>
      </c>
      <c r="C16" s="91"/>
      <c r="D16" s="92"/>
      <c r="E16" s="94">
        <f t="shared" si="0"/>
        <v>0</v>
      </c>
      <c r="F16" s="9"/>
      <c r="G16" s="2" t="s">
        <v>142</v>
      </c>
      <c r="H16" s="2"/>
      <c r="I16" s="2"/>
      <c r="J16" s="2"/>
    </row>
    <row r="17" spans="1:10" ht="18" x14ac:dyDescent="0.25">
      <c r="A17" s="8">
        <v>13</v>
      </c>
      <c r="B17" s="8">
        <v>13</v>
      </c>
      <c r="C17" s="91"/>
      <c r="D17" s="92"/>
      <c r="E17" s="94">
        <f t="shared" si="0"/>
        <v>0</v>
      </c>
      <c r="F17" s="9"/>
      <c r="G17" s="2" t="s">
        <v>159</v>
      </c>
      <c r="H17" s="2"/>
      <c r="I17" s="2"/>
      <c r="J17" s="2"/>
    </row>
    <row r="18" spans="1:10" ht="18" x14ac:dyDescent="0.25">
      <c r="A18" s="8">
        <v>14</v>
      </c>
      <c r="B18" s="8">
        <v>14</v>
      </c>
      <c r="C18" s="91"/>
      <c r="D18" s="92"/>
      <c r="E18" s="94">
        <f t="shared" si="0"/>
        <v>0</v>
      </c>
      <c r="F18" s="9"/>
      <c r="G18" s="2" t="s">
        <v>159</v>
      </c>
      <c r="H18" s="2"/>
      <c r="I18" s="2"/>
      <c r="J18" s="2"/>
    </row>
    <row r="19" spans="1:10" ht="18" x14ac:dyDescent="0.25">
      <c r="A19" s="8"/>
      <c r="B19" s="8"/>
      <c r="C19" s="33"/>
      <c r="D19" s="33"/>
      <c r="E19" s="95"/>
      <c r="F19" s="2"/>
      <c r="G19" s="2"/>
      <c r="H19" s="2"/>
      <c r="I19" s="2"/>
      <c r="J19" s="2"/>
    </row>
    <row r="20" spans="1:10" ht="18" x14ac:dyDescent="0.25">
      <c r="A20" s="8"/>
      <c r="B20" s="8"/>
      <c r="C20" s="33"/>
      <c r="D20" s="33"/>
      <c r="E20" s="95"/>
      <c r="F20" s="2"/>
      <c r="G20" s="2"/>
      <c r="H20" s="2"/>
      <c r="I20" s="2"/>
      <c r="J20" s="2"/>
    </row>
    <row r="21" spans="1:10" ht="18" x14ac:dyDescent="0.25">
      <c r="A21" s="8"/>
      <c r="B21" s="8"/>
      <c r="C21" s="33"/>
      <c r="D21" s="33"/>
      <c r="E21" s="95"/>
      <c r="F21" s="2"/>
      <c r="G21" s="2"/>
      <c r="H21" s="2"/>
      <c r="I21" s="2"/>
      <c r="J21" s="2"/>
    </row>
    <row r="22" spans="1:10" ht="18" x14ac:dyDescent="0.25">
      <c r="A22" s="8"/>
      <c r="B22" s="8"/>
      <c r="C22" s="33"/>
      <c r="D22" s="33"/>
      <c r="E22" s="95"/>
      <c r="F22" s="2"/>
      <c r="G22" s="2"/>
      <c r="H22" s="2"/>
      <c r="I22" s="2"/>
      <c r="J22" s="2"/>
    </row>
    <row r="23" spans="1:10" ht="18" x14ac:dyDescent="0.25">
      <c r="A23" s="8"/>
      <c r="B23" s="8"/>
      <c r="C23" s="33"/>
      <c r="D23" s="33"/>
      <c r="E23" s="95"/>
      <c r="F23" s="2"/>
      <c r="G23" s="2"/>
      <c r="H23" s="2"/>
      <c r="I23" s="2"/>
      <c r="J23" s="2"/>
    </row>
    <row r="24" spans="1:10" ht="18" x14ac:dyDescent="0.25">
      <c r="A24" s="8"/>
      <c r="B24" s="8"/>
      <c r="C24" s="33"/>
      <c r="D24" s="33"/>
      <c r="E24" s="95"/>
      <c r="F24" s="2"/>
      <c r="G24" s="2"/>
      <c r="H24" s="2"/>
      <c r="I24" s="2"/>
      <c r="J24" s="2"/>
    </row>
    <row r="25" spans="1:10" ht="18" x14ac:dyDescent="0.25">
      <c r="A25" s="8"/>
      <c r="B25" s="8"/>
      <c r="C25" s="33"/>
      <c r="D25" s="33"/>
      <c r="E25" s="95"/>
      <c r="F25" s="2"/>
      <c r="G25" s="2"/>
      <c r="H25" s="2"/>
      <c r="I25" s="2"/>
      <c r="J25" s="2"/>
    </row>
    <row r="26" spans="1:10" ht="18" x14ac:dyDescent="0.25">
      <c r="A26" s="8"/>
      <c r="B26" s="8"/>
      <c r="C26" s="33"/>
      <c r="D26" s="33"/>
      <c r="E26" s="95"/>
      <c r="F26" s="2"/>
      <c r="G26" s="2"/>
      <c r="H26" s="2"/>
      <c r="I26" s="2"/>
      <c r="J26" s="2"/>
    </row>
    <row r="27" spans="1:10" ht="18" x14ac:dyDescent="0.25">
      <c r="A27" s="8"/>
      <c r="B27" s="8"/>
      <c r="C27" s="33"/>
      <c r="D27" s="33"/>
      <c r="E27" s="95"/>
      <c r="F27" s="2"/>
      <c r="G27" s="2"/>
      <c r="H27" s="2"/>
      <c r="I27" s="2"/>
      <c r="J27" s="2"/>
    </row>
    <row r="28" spans="1:10" ht="18" x14ac:dyDescent="0.25">
      <c r="A28" s="8"/>
      <c r="B28" s="8"/>
      <c r="C28" s="33"/>
      <c r="D28" s="33"/>
      <c r="E28" s="95"/>
      <c r="F28" s="2"/>
      <c r="G28" s="2"/>
      <c r="H28" s="2"/>
      <c r="I28" s="2"/>
      <c r="J28" s="2"/>
    </row>
    <row r="29" spans="1:10" ht="18" x14ac:dyDescent="0.25">
      <c r="A29" s="8"/>
      <c r="B29" s="8"/>
      <c r="C29" s="33"/>
      <c r="D29" s="33"/>
      <c r="E29" s="95"/>
      <c r="F29" s="2"/>
      <c r="G29" s="2"/>
      <c r="H29" s="2"/>
      <c r="I29" s="2"/>
      <c r="J29" s="2"/>
    </row>
    <row r="30" spans="1:10" ht="18" x14ac:dyDescent="0.25">
      <c r="A30" s="8"/>
      <c r="B30" s="8"/>
      <c r="C30" s="33"/>
      <c r="D30" s="33"/>
      <c r="E30" s="95"/>
      <c r="F30" s="2"/>
      <c r="G30" s="2"/>
      <c r="H30" s="2"/>
      <c r="I30" s="2"/>
      <c r="J30" s="2"/>
    </row>
    <row r="31" spans="1:10" ht="18" x14ac:dyDescent="0.25">
      <c r="A31" s="8"/>
      <c r="B31" s="8"/>
      <c r="C31" s="33"/>
      <c r="D31" s="33"/>
      <c r="E31" s="95"/>
      <c r="F31" s="2"/>
      <c r="G31" s="2"/>
      <c r="H31" s="2"/>
      <c r="I31" s="2"/>
      <c r="J31" s="2"/>
    </row>
    <row r="32" spans="1:10" ht="18" x14ac:dyDescent="0.25">
      <c r="A32" s="8"/>
      <c r="B32" s="8"/>
      <c r="C32" s="33"/>
      <c r="D32" s="33"/>
      <c r="E32" s="95"/>
      <c r="F32" s="2"/>
      <c r="G32" s="2"/>
      <c r="H32" s="2"/>
      <c r="I32" s="2"/>
      <c r="J32" s="2"/>
    </row>
    <row r="33" spans="1:10" ht="18" x14ac:dyDescent="0.25">
      <c r="A33" s="8"/>
      <c r="B33" s="8"/>
      <c r="C33" s="33"/>
      <c r="D33" s="33"/>
      <c r="E33" s="95"/>
      <c r="F33" s="2"/>
      <c r="G33" s="2"/>
      <c r="H33" s="2"/>
      <c r="I33" s="2"/>
      <c r="J33" s="2"/>
    </row>
  </sheetData>
  <mergeCells count="2">
    <mergeCell ref="C2:N2"/>
    <mergeCell ref="F3:Q3"/>
  </mergeCells>
  <pageMargins left="0.7" right="0.7" top="0.75" bottom="0.75" header="0.3" footer="0.3"/>
  <pageSetup paperSize="9"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F200"/>
  <sheetViews>
    <sheetView rightToLeft="1" topLeftCell="A184" workbookViewId="0">
      <selection activeCell="I195" sqref="I195"/>
    </sheetView>
  </sheetViews>
  <sheetFormatPr defaultRowHeight="14.25" x14ac:dyDescent="0.2"/>
  <cols>
    <col min="1" max="1" width="5.25" style="3" bestFit="1" customWidth="1"/>
    <col min="2" max="2" width="14.375" style="7" bestFit="1" customWidth="1"/>
    <col min="3" max="3" width="14.375" style="7" customWidth="1"/>
    <col min="4" max="4" width="9.375" style="3" bestFit="1" customWidth="1"/>
    <col min="11" max="11" width="13.375" style="28" bestFit="1" customWidth="1"/>
  </cols>
  <sheetData>
    <row r="2" spans="1:32" ht="26.25" x14ac:dyDescent="0.4">
      <c r="B2" s="99" t="s">
        <v>36</v>
      </c>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row>
    <row r="3" spans="1:32" ht="18" x14ac:dyDescent="0.25">
      <c r="B3" s="10"/>
      <c r="C3" s="10"/>
      <c r="D3" s="11"/>
    </row>
    <row r="4" spans="1:32" ht="81" x14ac:dyDescent="0.2">
      <c r="A4" s="12" t="s">
        <v>7</v>
      </c>
      <c r="B4" s="13" t="s">
        <v>34</v>
      </c>
      <c r="C4" s="13" t="s">
        <v>79</v>
      </c>
      <c r="D4" s="16" t="s">
        <v>35</v>
      </c>
      <c r="E4" s="16" t="s">
        <v>73</v>
      </c>
      <c r="F4" s="16" t="s">
        <v>75</v>
      </c>
      <c r="G4" s="16" t="s">
        <v>74</v>
      </c>
      <c r="H4" s="16" t="s">
        <v>38</v>
      </c>
      <c r="I4" s="16" t="s">
        <v>39</v>
      </c>
      <c r="J4" s="16" t="s">
        <v>40</v>
      </c>
      <c r="K4" s="29" t="s">
        <v>72</v>
      </c>
      <c r="L4" s="16" t="s">
        <v>41</v>
      </c>
      <c r="M4" s="16" t="s">
        <v>37</v>
      </c>
      <c r="N4" s="16"/>
      <c r="O4" s="16"/>
      <c r="P4" s="16"/>
      <c r="Q4" s="16"/>
      <c r="R4" s="16"/>
      <c r="S4" s="16"/>
      <c r="T4" s="16"/>
      <c r="U4" s="16"/>
      <c r="V4" s="16"/>
      <c r="W4" s="16"/>
      <c r="X4" s="16"/>
      <c r="Y4" s="16"/>
      <c r="Z4" s="16"/>
      <c r="AA4" s="16"/>
      <c r="AB4" s="16" t="s">
        <v>45</v>
      </c>
      <c r="AC4" s="16" t="s">
        <v>42</v>
      </c>
      <c r="AD4" s="16" t="s">
        <v>43</v>
      </c>
      <c r="AE4" s="16" t="s">
        <v>44</v>
      </c>
      <c r="AF4" s="16"/>
    </row>
    <row r="5" spans="1:32" ht="20.25" x14ac:dyDescent="0.25">
      <c r="A5" s="8">
        <v>1</v>
      </c>
      <c r="B5" s="9">
        <v>43837</v>
      </c>
      <c r="C5" s="9"/>
      <c r="D5" s="8">
        <v>21336</v>
      </c>
      <c r="E5" s="8"/>
      <c r="F5" s="8"/>
      <c r="G5" s="8"/>
      <c r="H5" s="8">
        <f>LOOKUP(21340,D5:D2000,D5:D2000)</f>
        <v>21336</v>
      </c>
      <c r="I5" s="8">
        <f>LOOKUP(999999,D5:D2000,D5:D2000)</f>
        <v>26923</v>
      </c>
      <c r="J5" s="8">
        <f>I5-H5</f>
        <v>5587</v>
      </c>
      <c r="K5" s="30">
        <f>J5/(MAX(B4:B1999) - MIN(B4:B1999))</f>
        <v>16.24127906976744</v>
      </c>
      <c r="L5" s="8"/>
      <c r="AB5" s="8">
        <v>50</v>
      </c>
      <c r="AC5" s="8">
        <v>1</v>
      </c>
      <c r="AD5" s="8">
        <v>0.3</v>
      </c>
      <c r="AE5" s="8">
        <v>1</v>
      </c>
    </row>
    <row r="6" spans="1:32" ht="18" x14ac:dyDescent="0.25">
      <c r="A6" s="8">
        <v>2</v>
      </c>
      <c r="B6" s="9">
        <v>43838</v>
      </c>
      <c r="C6" s="9"/>
      <c r="D6" s="8">
        <v>21362</v>
      </c>
      <c r="E6" s="8"/>
      <c r="F6" s="8"/>
      <c r="G6" s="8">
        <f>(D6-D5)/(B6-B5)</f>
        <v>26</v>
      </c>
      <c r="H6" s="2"/>
      <c r="I6" s="2"/>
      <c r="J6" s="2"/>
      <c r="K6" s="27"/>
      <c r="L6" s="2"/>
      <c r="M6" s="2"/>
      <c r="N6" s="2"/>
      <c r="O6" s="2"/>
      <c r="P6" s="2"/>
      <c r="Q6" s="2"/>
      <c r="R6" s="2"/>
      <c r="S6" s="2"/>
      <c r="T6" s="2"/>
      <c r="U6" s="2"/>
      <c r="V6" s="2"/>
      <c r="W6" s="2"/>
      <c r="X6" s="2"/>
      <c r="Y6" s="2"/>
      <c r="Z6" s="2"/>
      <c r="AA6" s="2"/>
      <c r="AB6" s="8">
        <v>100</v>
      </c>
      <c r="AC6" s="8">
        <v>2</v>
      </c>
      <c r="AD6" s="8">
        <v>0.4</v>
      </c>
      <c r="AE6" s="8">
        <v>2</v>
      </c>
    </row>
    <row r="7" spans="1:32" ht="18" x14ac:dyDescent="0.25">
      <c r="A7" s="8">
        <v>3</v>
      </c>
      <c r="B7" s="9">
        <v>43845</v>
      </c>
      <c r="C7" s="9"/>
      <c r="D7" s="8">
        <v>21604</v>
      </c>
      <c r="E7" s="8"/>
      <c r="F7" s="8"/>
      <c r="G7" s="8">
        <f t="shared" ref="G7:G71" si="0">(D7-D6)/(B7-B6)</f>
        <v>34.571428571428569</v>
      </c>
      <c r="H7" s="2"/>
      <c r="I7" s="2"/>
      <c r="J7" s="2"/>
      <c r="K7" s="27"/>
      <c r="L7" s="2"/>
      <c r="M7" s="2"/>
      <c r="N7" s="2"/>
      <c r="O7" s="2"/>
      <c r="P7" s="2"/>
      <c r="Q7" s="2"/>
      <c r="R7" s="2"/>
      <c r="S7" s="2"/>
      <c r="T7" s="2"/>
      <c r="U7" s="2"/>
      <c r="V7" s="2"/>
      <c r="W7" s="2"/>
      <c r="X7" s="2"/>
      <c r="Y7" s="2"/>
      <c r="Z7" s="2"/>
      <c r="AA7" s="2"/>
      <c r="AB7" s="8">
        <v>200</v>
      </c>
      <c r="AC7" s="8">
        <v>3</v>
      </c>
      <c r="AD7" s="8">
        <v>0.5</v>
      </c>
      <c r="AE7" s="8">
        <v>6</v>
      </c>
      <c r="AF7" t="s">
        <v>46</v>
      </c>
    </row>
    <row r="8" spans="1:32" ht="18" x14ac:dyDescent="0.25">
      <c r="A8" s="8">
        <v>4</v>
      </c>
      <c r="B8" s="9">
        <v>43850</v>
      </c>
      <c r="C8" s="9"/>
      <c r="D8" s="8">
        <v>21801</v>
      </c>
      <c r="E8" s="8">
        <v>1</v>
      </c>
      <c r="F8" s="8"/>
      <c r="G8" s="8">
        <f t="shared" si="0"/>
        <v>39.4</v>
      </c>
      <c r="H8" s="2"/>
      <c r="I8" s="2"/>
      <c r="J8" s="2"/>
      <c r="K8" s="27"/>
      <c r="L8" s="2"/>
      <c r="M8" s="2"/>
      <c r="N8" s="2"/>
      <c r="O8" s="2"/>
      <c r="P8" s="2"/>
      <c r="Q8" s="2"/>
      <c r="R8" s="2"/>
      <c r="S8" s="2"/>
      <c r="T8" s="2"/>
      <c r="U8" s="2"/>
      <c r="V8" s="2"/>
      <c r="W8" s="2"/>
      <c r="X8" s="2"/>
      <c r="Y8" s="2"/>
      <c r="Z8" s="2"/>
      <c r="AA8" s="2"/>
      <c r="AB8" s="8">
        <v>350</v>
      </c>
      <c r="AC8" s="8">
        <v>4</v>
      </c>
      <c r="AD8" s="8">
        <v>0.82</v>
      </c>
      <c r="AE8" s="8">
        <v>11</v>
      </c>
    </row>
    <row r="9" spans="1:32" ht="18" x14ac:dyDescent="0.25">
      <c r="A9" s="8">
        <v>5</v>
      </c>
      <c r="B9" s="9">
        <v>43853</v>
      </c>
      <c r="C9" s="9"/>
      <c r="D9" s="8">
        <v>21890</v>
      </c>
      <c r="E9" s="8"/>
      <c r="F9" s="8"/>
      <c r="G9" s="8">
        <f t="shared" si="0"/>
        <v>29.666666666666668</v>
      </c>
      <c r="H9" s="2"/>
      <c r="I9" s="2"/>
      <c r="J9" s="2"/>
      <c r="K9" s="27"/>
      <c r="L9" s="2"/>
      <c r="M9" s="2"/>
      <c r="N9" s="2"/>
      <c r="O9" s="2"/>
      <c r="P9" s="2"/>
      <c r="Q9" s="2"/>
      <c r="R9" s="2"/>
      <c r="S9" s="2"/>
      <c r="T9" s="2"/>
      <c r="U9" s="2"/>
      <c r="V9" s="2"/>
      <c r="W9" s="2"/>
      <c r="X9" s="2"/>
      <c r="Y9" s="2"/>
      <c r="Z9" s="2"/>
      <c r="AA9" s="2"/>
      <c r="AB9" s="8">
        <v>650</v>
      </c>
      <c r="AC9" s="8">
        <v>5</v>
      </c>
      <c r="AD9" s="8">
        <v>1</v>
      </c>
      <c r="AE9" s="8">
        <v>15</v>
      </c>
    </row>
    <row r="10" spans="1:32" ht="18" x14ac:dyDescent="0.25">
      <c r="A10" s="8">
        <v>6</v>
      </c>
      <c r="B10" s="9">
        <v>43856</v>
      </c>
      <c r="C10" s="9"/>
      <c r="D10" s="8">
        <v>21971</v>
      </c>
      <c r="E10" s="8"/>
      <c r="F10" s="8"/>
      <c r="G10" s="8">
        <f t="shared" si="0"/>
        <v>27</v>
      </c>
      <c r="H10" s="2"/>
      <c r="I10" s="2"/>
      <c r="J10" s="2"/>
      <c r="K10" s="27"/>
      <c r="L10" s="2"/>
      <c r="M10" s="2"/>
      <c r="N10" s="2"/>
      <c r="O10" s="2"/>
      <c r="P10" s="2"/>
      <c r="Q10" s="2"/>
      <c r="R10" s="2"/>
      <c r="S10" s="2"/>
      <c r="T10" s="2"/>
      <c r="U10" s="2"/>
      <c r="V10" s="2"/>
      <c r="W10" s="2"/>
      <c r="X10" s="2"/>
      <c r="Y10" s="2"/>
      <c r="Z10" s="2"/>
      <c r="AA10" s="2"/>
      <c r="AB10" s="8">
        <v>1000</v>
      </c>
      <c r="AC10" s="8">
        <v>6</v>
      </c>
      <c r="AD10" s="8">
        <v>1.4</v>
      </c>
      <c r="AE10" s="8">
        <v>25</v>
      </c>
    </row>
    <row r="11" spans="1:32" ht="18" x14ac:dyDescent="0.25">
      <c r="A11" s="8">
        <v>7</v>
      </c>
      <c r="B11" s="9">
        <v>43858</v>
      </c>
      <c r="C11" s="9"/>
      <c r="D11" s="8">
        <v>22037</v>
      </c>
      <c r="E11" s="8"/>
      <c r="F11" s="8"/>
      <c r="G11" s="8">
        <f t="shared" si="0"/>
        <v>33</v>
      </c>
      <c r="H11" s="2"/>
      <c r="I11" s="2"/>
      <c r="J11" s="2"/>
      <c r="K11" s="27"/>
      <c r="L11" s="2"/>
      <c r="M11" s="2"/>
      <c r="N11" s="2"/>
      <c r="O11" s="2"/>
      <c r="P11" s="2"/>
      <c r="Q11" s="2"/>
      <c r="R11" s="2"/>
      <c r="S11" s="2"/>
      <c r="T11" s="2"/>
      <c r="U11" s="2"/>
      <c r="V11" s="2"/>
      <c r="W11" s="2"/>
      <c r="X11" s="2"/>
      <c r="Y11" s="2"/>
      <c r="Z11" s="2"/>
      <c r="AA11" s="2"/>
      <c r="AB11" s="8">
        <v>50000</v>
      </c>
      <c r="AC11" s="8">
        <v>7</v>
      </c>
      <c r="AD11" s="8">
        <v>1.45</v>
      </c>
      <c r="AE11" s="8">
        <v>40</v>
      </c>
      <c r="AF11" t="s">
        <v>46</v>
      </c>
    </row>
    <row r="12" spans="1:32" ht="18" x14ac:dyDescent="0.25">
      <c r="A12" s="8">
        <v>8</v>
      </c>
      <c r="B12" s="9">
        <v>43860</v>
      </c>
      <c r="C12" s="9"/>
      <c r="D12" s="8">
        <v>22092</v>
      </c>
      <c r="E12" s="8"/>
      <c r="F12" s="8"/>
      <c r="G12" s="8">
        <f t="shared" si="0"/>
        <v>27.5</v>
      </c>
      <c r="H12" s="2"/>
      <c r="I12" s="2"/>
      <c r="J12" s="2"/>
      <c r="K12" s="27"/>
      <c r="L12" s="2"/>
      <c r="M12" s="2"/>
      <c r="N12" s="2"/>
      <c r="O12" s="2"/>
      <c r="P12" s="2"/>
      <c r="Q12" s="2"/>
      <c r="R12" s="2"/>
      <c r="S12" s="2"/>
      <c r="T12" s="2"/>
      <c r="U12" s="2"/>
      <c r="V12" s="2"/>
      <c r="W12" s="2"/>
      <c r="X12" s="2"/>
      <c r="Y12" s="2"/>
      <c r="Z12" s="2"/>
      <c r="AA12" s="2"/>
      <c r="AB12" s="8"/>
      <c r="AC12" s="8"/>
      <c r="AD12" s="8"/>
      <c r="AE12" s="8"/>
    </row>
    <row r="13" spans="1:32" ht="18" x14ac:dyDescent="0.25">
      <c r="A13" s="8">
        <v>9</v>
      </c>
      <c r="B13" s="9">
        <v>43864</v>
      </c>
      <c r="C13" s="9"/>
      <c r="D13" s="8">
        <v>22192</v>
      </c>
      <c r="E13" s="8"/>
      <c r="F13" s="8"/>
      <c r="G13" s="8">
        <f t="shared" si="0"/>
        <v>25</v>
      </c>
      <c r="H13" s="2"/>
      <c r="I13" s="2"/>
      <c r="J13" s="2"/>
      <c r="K13" s="27"/>
      <c r="L13" s="2"/>
      <c r="M13" s="2"/>
      <c r="N13" s="2"/>
      <c r="O13" s="2"/>
      <c r="P13" s="2"/>
      <c r="Q13" s="2"/>
      <c r="R13" s="2"/>
      <c r="S13" s="2"/>
      <c r="T13" s="2"/>
      <c r="U13" s="2"/>
      <c r="V13" s="2"/>
      <c r="W13" s="2"/>
      <c r="X13" s="2"/>
      <c r="Y13" s="2"/>
      <c r="Z13" s="2"/>
      <c r="AA13" s="2"/>
      <c r="AB13" s="8"/>
      <c r="AC13" s="8"/>
      <c r="AD13" s="8"/>
      <c r="AE13" s="8"/>
    </row>
    <row r="14" spans="1:32" ht="18" x14ac:dyDescent="0.25">
      <c r="A14" s="8">
        <v>10</v>
      </c>
      <c r="B14" s="9">
        <v>43866</v>
      </c>
      <c r="C14" s="9" t="s">
        <v>87</v>
      </c>
      <c r="D14" s="8">
        <v>22252</v>
      </c>
      <c r="E14" s="8"/>
      <c r="F14" s="8"/>
      <c r="G14" s="8">
        <f t="shared" si="0"/>
        <v>30</v>
      </c>
      <c r="H14" s="2"/>
      <c r="I14" s="2"/>
      <c r="J14" s="2"/>
      <c r="K14" s="27"/>
      <c r="L14" s="2"/>
      <c r="M14" s="2"/>
      <c r="N14" s="2"/>
      <c r="O14" s="2"/>
      <c r="P14" s="2"/>
      <c r="Q14" s="2"/>
      <c r="R14" s="2"/>
      <c r="S14" s="2"/>
      <c r="T14" s="2"/>
      <c r="U14" s="2"/>
      <c r="V14" s="2"/>
      <c r="W14" s="2"/>
      <c r="X14" s="2"/>
      <c r="Y14" s="2"/>
      <c r="Z14" s="2"/>
      <c r="AA14" s="2"/>
      <c r="AB14" s="8"/>
      <c r="AC14" s="8"/>
      <c r="AD14" s="8"/>
      <c r="AE14" s="8"/>
    </row>
    <row r="15" spans="1:32" ht="18" x14ac:dyDescent="0.25">
      <c r="A15" s="8">
        <v>11</v>
      </c>
      <c r="B15" s="9">
        <v>43867</v>
      </c>
      <c r="C15" s="9" t="s">
        <v>85</v>
      </c>
      <c r="D15" s="8">
        <v>22292</v>
      </c>
      <c r="E15" s="8"/>
      <c r="F15" s="8"/>
      <c r="G15" s="8">
        <f t="shared" si="0"/>
        <v>40</v>
      </c>
      <c r="H15" s="2"/>
      <c r="I15" s="2"/>
      <c r="J15" s="2"/>
      <c r="K15" s="27"/>
      <c r="L15" s="2"/>
      <c r="M15" s="2"/>
      <c r="N15" s="2"/>
      <c r="O15" s="2"/>
      <c r="P15" s="2"/>
      <c r="Q15" s="2"/>
      <c r="R15" s="2"/>
      <c r="S15" s="2"/>
      <c r="T15" s="2"/>
      <c r="U15" s="2"/>
      <c r="V15" s="2"/>
      <c r="W15" s="2"/>
      <c r="X15" s="2"/>
      <c r="Y15" s="2"/>
      <c r="Z15" s="2"/>
      <c r="AA15" s="2"/>
      <c r="AC15" s="8"/>
      <c r="AD15" s="8"/>
      <c r="AE15" s="8"/>
    </row>
    <row r="16" spans="1:32" ht="18" x14ac:dyDescent="0.25">
      <c r="A16" s="8">
        <v>12</v>
      </c>
      <c r="B16" s="9">
        <v>43872</v>
      </c>
      <c r="C16" s="9" t="s">
        <v>81</v>
      </c>
      <c r="D16" s="8">
        <v>22420</v>
      </c>
      <c r="E16" s="8"/>
      <c r="F16" s="8"/>
      <c r="G16" s="8">
        <f t="shared" si="0"/>
        <v>25.6</v>
      </c>
      <c r="H16" s="2"/>
      <c r="I16" s="2"/>
      <c r="J16" s="2"/>
      <c r="K16" s="27"/>
      <c r="L16" s="2"/>
      <c r="M16" s="2"/>
      <c r="N16" s="2"/>
      <c r="O16" s="2"/>
      <c r="P16" s="2"/>
      <c r="Q16" s="2"/>
      <c r="R16" s="2"/>
      <c r="S16" s="2"/>
      <c r="T16" s="2"/>
      <c r="U16" s="2"/>
      <c r="V16" s="2"/>
      <c r="W16" s="2"/>
      <c r="X16" s="2"/>
      <c r="Y16" s="2"/>
      <c r="Z16" s="2"/>
      <c r="AA16" s="2"/>
      <c r="AC16" s="8"/>
      <c r="AD16" s="8"/>
      <c r="AE16" s="8"/>
    </row>
    <row r="17" spans="1:31" ht="18" x14ac:dyDescent="0.25">
      <c r="A17" s="8">
        <v>13</v>
      </c>
      <c r="B17" s="9">
        <v>43875</v>
      </c>
      <c r="C17" s="9" t="s">
        <v>80</v>
      </c>
      <c r="D17" s="8">
        <v>22495</v>
      </c>
      <c r="E17" s="8"/>
      <c r="F17" s="8"/>
      <c r="G17" s="8">
        <f t="shared" si="0"/>
        <v>25</v>
      </c>
      <c r="H17" s="2"/>
      <c r="I17" s="2"/>
      <c r="J17" s="2"/>
      <c r="K17" s="27"/>
      <c r="L17" s="2"/>
      <c r="M17" s="2"/>
      <c r="N17" s="2"/>
      <c r="O17" s="2"/>
      <c r="P17" s="2"/>
      <c r="Q17" s="2"/>
      <c r="R17" s="2"/>
      <c r="S17" s="2"/>
      <c r="T17" s="2"/>
      <c r="U17" s="2"/>
      <c r="V17" s="2"/>
      <c r="W17" s="2"/>
      <c r="X17" s="2"/>
      <c r="Y17" s="2"/>
      <c r="Z17" s="2"/>
      <c r="AA17" s="2"/>
      <c r="AC17" s="8"/>
      <c r="AD17" s="8"/>
      <c r="AE17" s="8"/>
    </row>
    <row r="18" spans="1:31" ht="18" x14ac:dyDescent="0.25">
      <c r="A18" s="8">
        <v>14</v>
      </c>
      <c r="B18" s="9">
        <v>43876</v>
      </c>
      <c r="C18" s="9" t="s">
        <v>84</v>
      </c>
      <c r="D18" s="8">
        <v>22522</v>
      </c>
      <c r="E18" s="2"/>
      <c r="F18" s="2"/>
      <c r="G18" s="8">
        <f t="shared" si="0"/>
        <v>27</v>
      </c>
      <c r="H18" s="2"/>
      <c r="I18" s="2"/>
      <c r="J18" s="2"/>
      <c r="K18" s="27"/>
      <c r="L18" s="2"/>
      <c r="M18" s="2"/>
      <c r="N18" s="2"/>
      <c r="O18" s="2"/>
      <c r="P18" s="2"/>
      <c r="Q18" s="2"/>
      <c r="R18" s="2"/>
      <c r="S18" s="2"/>
      <c r="T18" s="2"/>
      <c r="U18" s="2"/>
      <c r="V18" s="2"/>
      <c r="W18" s="2"/>
      <c r="X18" s="2"/>
      <c r="Y18" s="2"/>
      <c r="Z18" s="2"/>
      <c r="AA18" s="2"/>
      <c r="AC18" s="8"/>
      <c r="AD18" s="8"/>
    </row>
    <row r="19" spans="1:31" ht="18" x14ac:dyDescent="0.25">
      <c r="A19" s="8">
        <v>15</v>
      </c>
      <c r="B19" s="9">
        <v>43878</v>
      </c>
      <c r="C19" s="9" t="s">
        <v>83</v>
      </c>
      <c r="D19" s="8">
        <v>22559</v>
      </c>
      <c r="E19" s="2"/>
      <c r="F19" s="2"/>
      <c r="G19" s="8">
        <f t="shared" si="0"/>
        <v>18.5</v>
      </c>
      <c r="H19" s="2"/>
      <c r="I19" s="2"/>
      <c r="J19" s="2"/>
      <c r="K19" s="27"/>
      <c r="L19" s="2"/>
      <c r="M19" s="2"/>
      <c r="N19" s="2"/>
      <c r="O19" s="2"/>
      <c r="P19" s="2"/>
      <c r="Q19" s="2"/>
      <c r="R19" s="2"/>
      <c r="S19" s="2"/>
      <c r="T19" s="2"/>
      <c r="U19" s="2"/>
      <c r="V19" s="2"/>
      <c r="W19" s="2"/>
      <c r="X19" s="2"/>
      <c r="Y19" s="2"/>
      <c r="Z19" s="2"/>
      <c r="AA19" s="2"/>
      <c r="AC19" s="8"/>
    </row>
    <row r="20" spans="1:31" ht="18" x14ac:dyDescent="0.25">
      <c r="A20" s="8">
        <v>16</v>
      </c>
      <c r="B20" s="9">
        <v>43879</v>
      </c>
      <c r="C20" s="9" t="s">
        <v>86</v>
      </c>
      <c r="D20" s="8">
        <v>22577</v>
      </c>
      <c r="E20" s="2"/>
      <c r="F20" s="2"/>
      <c r="G20" s="8">
        <f t="shared" si="0"/>
        <v>18</v>
      </c>
      <c r="H20" s="2"/>
      <c r="I20" s="2"/>
      <c r="J20" s="2"/>
      <c r="K20" s="27"/>
      <c r="L20" s="2"/>
      <c r="M20" s="2"/>
      <c r="N20" s="2"/>
      <c r="O20" s="2"/>
      <c r="P20" s="2"/>
      <c r="Q20" s="2"/>
      <c r="R20" s="2"/>
      <c r="S20" s="2"/>
      <c r="T20" s="2"/>
      <c r="U20" s="2"/>
      <c r="V20" s="2"/>
      <c r="W20" s="2"/>
      <c r="X20" s="2"/>
      <c r="Y20" s="2"/>
      <c r="Z20" s="2"/>
      <c r="AA20" s="2"/>
      <c r="AC20" s="8"/>
    </row>
    <row r="21" spans="1:31" ht="18" x14ac:dyDescent="0.25">
      <c r="A21" s="8">
        <v>17</v>
      </c>
      <c r="B21" s="9">
        <v>43880</v>
      </c>
      <c r="C21" s="9" t="s">
        <v>87</v>
      </c>
      <c r="D21" s="8">
        <v>22597</v>
      </c>
      <c r="E21" s="2"/>
      <c r="F21" s="2"/>
      <c r="G21" s="8">
        <f t="shared" si="0"/>
        <v>20</v>
      </c>
      <c r="H21" s="2"/>
      <c r="I21" s="2"/>
      <c r="J21" s="2"/>
      <c r="K21" s="27"/>
      <c r="L21" s="2"/>
      <c r="M21" s="2"/>
      <c r="N21" s="2"/>
      <c r="O21" s="2"/>
      <c r="P21" s="2"/>
      <c r="Q21" s="2"/>
      <c r="R21" s="2"/>
      <c r="S21" s="2"/>
      <c r="T21" s="2"/>
      <c r="U21" s="2"/>
      <c r="V21" s="2"/>
      <c r="W21" s="2"/>
      <c r="X21" s="2"/>
      <c r="Y21" s="2"/>
      <c r="Z21" s="2"/>
      <c r="AA21" s="2"/>
      <c r="AC21" s="8"/>
    </row>
    <row r="22" spans="1:31" ht="18" x14ac:dyDescent="0.25">
      <c r="A22" s="8">
        <v>18</v>
      </c>
      <c r="B22" s="9">
        <v>43881</v>
      </c>
      <c r="C22" s="9" t="s">
        <v>85</v>
      </c>
      <c r="D22" s="8">
        <v>22618</v>
      </c>
      <c r="E22" s="8">
        <v>2</v>
      </c>
      <c r="F22" s="8"/>
      <c r="G22" s="8">
        <f t="shared" si="0"/>
        <v>21</v>
      </c>
      <c r="H22" s="2"/>
      <c r="I22" s="2"/>
      <c r="J22" s="2"/>
      <c r="K22" s="27"/>
      <c r="L22" s="2"/>
      <c r="M22" s="2"/>
      <c r="N22" s="2"/>
      <c r="O22" s="2"/>
      <c r="P22" s="2"/>
      <c r="Q22" s="2"/>
      <c r="R22" s="2"/>
      <c r="S22" s="2"/>
      <c r="T22" s="2"/>
      <c r="U22" s="2"/>
      <c r="V22" s="2"/>
      <c r="W22" s="2"/>
      <c r="X22" s="2"/>
      <c r="Y22" s="2"/>
      <c r="Z22" s="2"/>
      <c r="AA22" s="2"/>
      <c r="AC22" s="8"/>
    </row>
    <row r="23" spans="1:31" ht="18" x14ac:dyDescent="0.25">
      <c r="A23" s="8">
        <v>19</v>
      </c>
      <c r="B23" s="9">
        <v>43883</v>
      </c>
      <c r="C23" s="9" t="s">
        <v>84</v>
      </c>
      <c r="D23" s="8">
        <v>22654</v>
      </c>
      <c r="E23" s="2"/>
      <c r="F23" s="2"/>
      <c r="G23" s="8">
        <f t="shared" si="0"/>
        <v>18</v>
      </c>
      <c r="H23" s="2"/>
      <c r="I23" s="2"/>
      <c r="J23" s="2"/>
      <c r="K23" s="27"/>
      <c r="L23" s="2"/>
      <c r="M23" s="2"/>
      <c r="N23" s="2"/>
      <c r="O23" s="2"/>
      <c r="P23" s="2"/>
      <c r="Q23" s="2"/>
      <c r="R23" s="2"/>
      <c r="S23" s="2"/>
      <c r="T23" s="2"/>
      <c r="U23" s="2"/>
      <c r="V23" s="2"/>
      <c r="W23" s="2"/>
      <c r="X23" s="2"/>
      <c r="Y23" s="2"/>
      <c r="Z23" s="2"/>
      <c r="AA23" s="2"/>
      <c r="AC23" s="8"/>
    </row>
    <row r="24" spans="1:31" ht="18" x14ac:dyDescent="0.25">
      <c r="A24" s="8">
        <v>20</v>
      </c>
      <c r="B24" s="9">
        <v>43885</v>
      </c>
      <c r="C24" s="9" t="s">
        <v>82</v>
      </c>
      <c r="D24" s="8">
        <v>22681</v>
      </c>
      <c r="E24" s="2"/>
      <c r="F24" s="2"/>
      <c r="G24" s="8">
        <f t="shared" si="0"/>
        <v>13.5</v>
      </c>
      <c r="H24" s="2"/>
      <c r="I24" s="2"/>
      <c r="J24" s="2"/>
      <c r="K24" s="27"/>
      <c r="L24" s="2"/>
      <c r="M24" s="2"/>
      <c r="N24" s="2"/>
      <c r="O24" s="2"/>
      <c r="P24" s="2"/>
      <c r="Q24" s="2"/>
      <c r="R24" s="2"/>
      <c r="S24" s="2"/>
      <c r="T24" s="2"/>
      <c r="U24" s="2"/>
      <c r="V24" s="2"/>
      <c r="W24" s="2"/>
      <c r="X24" s="2"/>
      <c r="Y24" s="2"/>
      <c r="Z24" s="2"/>
      <c r="AA24" s="2"/>
      <c r="AC24" s="8"/>
    </row>
    <row r="25" spans="1:31" ht="18" x14ac:dyDescent="0.25">
      <c r="A25" s="8">
        <v>21</v>
      </c>
      <c r="B25" s="9">
        <v>43886</v>
      </c>
      <c r="C25" s="9" t="s">
        <v>83</v>
      </c>
      <c r="D25" s="8">
        <v>22721</v>
      </c>
      <c r="E25" s="2"/>
      <c r="F25" s="2" t="s">
        <v>76</v>
      </c>
      <c r="G25" s="8">
        <f t="shared" si="0"/>
        <v>40</v>
      </c>
      <c r="H25" s="2"/>
      <c r="I25" s="2"/>
      <c r="J25" s="2"/>
      <c r="K25" s="27"/>
      <c r="L25" s="2"/>
      <c r="M25" s="2"/>
      <c r="N25" s="2"/>
      <c r="O25" s="2"/>
      <c r="P25" s="2"/>
      <c r="Q25" s="2"/>
      <c r="R25" s="2"/>
      <c r="S25" s="2"/>
      <c r="T25" s="2"/>
      <c r="U25" s="2"/>
      <c r="V25" s="2"/>
      <c r="W25" s="2"/>
      <c r="X25" s="2"/>
      <c r="Y25" s="2"/>
      <c r="Z25" s="2"/>
      <c r="AA25" s="2"/>
      <c r="AC25" s="8"/>
    </row>
    <row r="26" spans="1:31" ht="18" x14ac:dyDescent="0.25">
      <c r="A26" s="8">
        <v>22</v>
      </c>
      <c r="B26" s="9">
        <v>43887</v>
      </c>
      <c r="C26" s="9" t="s">
        <v>81</v>
      </c>
      <c r="D26" s="8">
        <v>22735</v>
      </c>
      <c r="E26" s="2"/>
      <c r="F26" s="2"/>
      <c r="G26" s="8">
        <f t="shared" si="0"/>
        <v>14</v>
      </c>
      <c r="H26" s="2"/>
      <c r="I26" s="2"/>
      <c r="J26" s="2"/>
      <c r="K26" s="27"/>
      <c r="L26" s="2"/>
      <c r="M26" s="2"/>
      <c r="N26" s="2"/>
      <c r="O26" s="2"/>
      <c r="P26" s="2"/>
      <c r="Q26" s="2"/>
      <c r="R26" s="2"/>
      <c r="S26" s="2"/>
      <c r="T26" s="2"/>
      <c r="U26" s="2"/>
      <c r="V26" s="2"/>
      <c r="W26" s="2"/>
      <c r="X26" s="2"/>
      <c r="Y26" s="2"/>
      <c r="Z26" s="2"/>
      <c r="AA26" s="2"/>
      <c r="AC26" s="8"/>
    </row>
    <row r="27" spans="1:31" ht="18" x14ac:dyDescent="0.25">
      <c r="A27" s="8">
        <v>23</v>
      </c>
      <c r="B27" s="9">
        <v>43890</v>
      </c>
      <c r="C27" s="9" t="s">
        <v>80</v>
      </c>
      <c r="D27" s="8">
        <v>22812</v>
      </c>
      <c r="E27" s="2"/>
      <c r="F27" s="2"/>
      <c r="G27" s="8">
        <f t="shared" si="0"/>
        <v>25.666666666666668</v>
      </c>
      <c r="H27" s="2"/>
      <c r="I27" s="2"/>
      <c r="J27" s="2"/>
      <c r="K27" s="27"/>
      <c r="L27" s="2"/>
      <c r="M27" s="2"/>
      <c r="N27" s="2"/>
      <c r="O27" s="2"/>
      <c r="P27" s="2"/>
      <c r="Q27" s="2"/>
      <c r="R27" s="2"/>
      <c r="S27" s="2"/>
      <c r="T27" s="2"/>
      <c r="U27" s="2"/>
      <c r="V27" s="2"/>
      <c r="W27" s="2"/>
      <c r="X27" s="2"/>
      <c r="Y27" s="2"/>
      <c r="Z27" s="2"/>
      <c r="AA27" s="2"/>
      <c r="AC27" s="8"/>
    </row>
    <row r="28" spans="1:31" ht="18" x14ac:dyDescent="0.25">
      <c r="A28" s="8">
        <v>24</v>
      </c>
      <c r="B28" s="9">
        <v>43892</v>
      </c>
      <c r="C28" s="9" t="s">
        <v>88</v>
      </c>
      <c r="D28" s="8">
        <v>22862</v>
      </c>
      <c r="E28" s="2"/>
      <c r="F28" s="2"/>
      <c r="G28" s="8">
        <f t="shared" si="0"/>
        <v>25</v>
      </c>
      <c r="H28" s="2"/>
      <c r="I28" s="2"/>
      <c r="J28" s="2"/>
      <c r="K28" s="27"/>
      <c r="L28" s="2"/>
      <c r="M28" s="2"/>
      <c r="N28" s="2"/>
      <c r="O28" s="2"/>
      <c r="P28" s="2"/>
      <c r="Q28" s="2"/>
      <c r="R28" s="2"/>
      <c r="S28" s="2"/>
      <c r="T28" s="2"/>
      <c r="U28" s="2"/>
      <c r="V28" s="2"/>
      <c r="W28" s="2"/>
      <c r="X28" s="2"/>
      <c r="Y28" s="2"/>
      <c r="Z28" s="2"/>
      <c r="AA28" s="2"/>
      <c r="AC28" s="8"/>
    </row>
    <row r="29" spans="1:31" ht="18" x14ac:dyDescent="0.25">
      <c r="A29" s="8">
        <v>25</v>
      </c>
      <c r="B29" s="9">
        <v>43893</v>
      </c>
      <c r="C29" s="9" t="s">
        <v>83</v>
      </c>
      <c r="D29" s="8">
        <v>22883</v>
      </c>
      <c r="E29" s="2"/>
      <c r="F29" s="2"/>
      <c r="G29" s="8">
        <f t="shared" si="0"/>
        <v>21</v>
      </c>
      <c r="H29" s="2"/>
      <c r="I29" s="2"/>
      <c r="J29" s="2"/>
      <c r="K29" s="27"/>
      <c r="L29" s="2"/>
      <c r="M29" s="2"/>
      <c r="N29" s="2"/>
      <c r="O29" s="2"/>
      <c r="P29" s="2"/>
      <c r="Q29" s="2"/>
      <c r="R29" s="2"/>
      <c r="S29" s="2"/>
      <c r="T29" s="2"/>
      <c r="U29" s="2"/>
      <c r="V29" s="2"/>
      <c r="W29" s="2"/>
      <c r="X29" s="2"/>
      <c r="Y29" s="2"/>
      <c r="Z29" s="2"/>
      <c r="AA29" s="2"/>
    </row>
    <row r="30" spans="1:31" ht="18" x14ac:dyDescent="0.25">
      <c r="A30" s="8">
        <v>26</v>
      </c>
      <c r="B30" s="9">
        <v>43895</v>
      </c>
      <c r="C30" s="9" t="s">
        <v>87</v>
      </c>
      <c r="D30" s="8">
        <v>22929</v>
      </c>
      <c r="E30" s="2"/>
      <c r="F30" s="2"/>
      <c r="G30" s="8">
        <f t="shared" si="0"/>
        <v>23</v>
      </c>
      <c r="H30" s="2"/>
      <c r="I30" s="2"/>
      <c r="J30" s="2"/>
      <c r="K30" s="27"/>
      <c r="L30" s="2"/>
      <c r="M30" s="2"/>
      <c r="N30" s="2"/>
      <c r="O30" s="2"/>
      <c r="P30" s="2"/>
      <c r="Q30" s="2"/>
      <c r="R30" s="2"/>
      <c r="S30" s="2"/>
      <c r="T30" s="2"/>
      <c r="U30" s="2"/>
      <c r="V30" s="2"/>
      <c r="W30" s="2"/>
      <c r="X30" s="2"/>
      <c r="Y30" s="2"/>
      <c r="Z30" s="2"/>
      <c r="AA30" s="2"/>
    </row>
    <row r="31" spans="1:31" ht="18" x14ac:dyDescent="0.25">
      <c r="A31" s="8">
        <v>27</v>
      </c>
      <c r="B31" s="9">
        <v>43897</v>
      </c>
      <c r="C31" s="9" t="s">
        <v>80</v>
      </c>
      <c r="D31" s="8">
        <v>22981</v>
      </c>
      <c r="E31" s="2"/>
      <c r="F31" s="2"/>
      <c r="G31" s="8">
        <f t="shared" si="0"/>
        <v>26</v>
      </c>
      <c r="H31" s="2"/>
      <c r="I31" s="2"/>
      <c r="J31" s="2"/>
      <c r="K31" s="27"/>
      <c r="L31" s="2"/>
      <c r="M31" s="2"/>
      <c r="N31" s="2"/>
      <c r="O31" s="2"/>
      <c r="P31" s="2"/>
      <c r="Q31" s="2"/>
      <c r="R31" s="2"/>
      <c r="S31" s="2"/>
      <c r="T31" s="2"/>
      <c r="U31" s="2"/>
      <c r="V31" s="2"/>
      <c r="W31" s="2"/>
      <c r="X31" s="2"/>
      <c r="Y31" s="2"/>
      <c r="Z31" s="2"/>
      <c r="AA31" s="2"/>
    </row>
    <row r="32" spans="1:31" ht="18" x14ac:dyDescent="0.25">
      <c r="A32" s="8">
        <v>28</v>
      </c>
      <c r="B32" s="9">
        <v>43899</v>
      </c>
      <c r="C32" s="9" t="s">
        <v>88</v>
      </c>
      <c r="D32" s="8">
        <v>23029</v>
      </c>
      <c r="E32" s="2"/>
      <c r="F32" s="2"/>
      <c r="G32" s="8">
        <f t="shared" si="0"/>
        <v>24</v>
      </c>
      <c r="H32" s="2"/>
      <c r="I32" s="2"/>
      <c r="J32" s="2"/>
      <c r="K32" s="27"/>
      <c r="L32" s="2"/>
      <c r="M32" s="2"/>
      <c r="N32" s="2"/>
      <c r="O32" s="2"/>
      <c r="P32" s="2"/>
      <c r="Q32" s="2"/>
      <c r="R32" s="2"/>
      <c r="S32" s="2"/>
      <c r="T32" s="2"/>
      <c r="U32" s="2"/>
      <c r="V32" s="2"/>
      <c r="W32" s="2"/>
      <c r="X32" s="2"/>
      <c r="Y32" s="2"/>
      <c r="Z32" s="2"/>
      <c r="AA32" s="2"/>
    </row>
    <row r="33" spans="1:27" ht="18" x14ac:dyDescent="0.25">
      <c r="A33" s="8">
        <v>29</v>
      </c>
      <c r="B33" s="9">
        <v>43900</v>
      </c>
      <c r="C33" s="9" t="s">
        <v>83</v>
      </c>
      <c r="D33" s="8">
        <v>23049</v>
      </c>
      <c r="E33" s="2"/>
      <c r="F33" s="2"/>
      <c r="G33" s="8">
        <f t="shared" si="0"/>
        <v>20</v>
      </c>
      <c r="H33" s="2"/>
      <c r="I33" s="2"/>
      <c r="J33" s="2"/>
      <c r="K33" s="27"/>
      <c r="L33" s="2"/>
      <c r="M33" s="2"/>
      <c r="N33" s="2"/>
      <c r="O33" s="2"/>
      <c r="P33" s="2"/>
      <c r="Q33" s="2"/>
      <c r="R33" s="2"/>
      <c r="S33" s="2"/>
      <c r="T33" s="2"/>
      <c r="U33" s="2"/>
      <c r="V33" s="2"/>
      <c r="W33" s="2"/>
      <c r="X33" s="2"/>
      <c r="Y33" s="2"/>
      <c r="Z33" s="2"/>
      <c r="AA33" s="2"/>
    </row>
    <row r="34" spans="1:27" ht="18" x14ac:dyDescent="0.25">
      <c r="A34" s="8">
        <v>30</v>
      </c>
      <c r="B34" s="9">
        <v>43901</v>
      </c>
      <c r="C34" s="9" t="s">
        <v>86</v>
      </c>
      <c r="D34" s="8">
        <v>23072</v>
      </c>
      <c r="E34" s="2"/>
      <c r="F34" s="2"/>
      <c r="G34" s="8">
        <f t="shared" si="0"/>
        <v>23</v>
      </c>
      <c r="H34" s="2"/>
      <c r="I34" s="2"/>
      <c r="J34" s="2"/>
      <c r="K34" s="27"/>
      <c r="L34" s="2"/>
      <c r="M34" s="2"/>
      <c r="N34" s="2"/>
      <c r="O34" s="2"/>
      <c r="P34" s="2"/>
      <c r="Q34" s="2"/>
      <c r="R34" s="2"/>
      <c r="S34" s="2"/>
      <c r="T34" s="2"/>
      <c r="U34" s="2"/>
      <c r="V34" s="2"/>
      <c r="W34" s="2"/>
      <c r="X34" s="2"/>
      <c r="Y34" s="2"/>
      <c r="Z34" s="2"/>
      <c r="AA34" s="2"/>
    </row>
    <row r="35" spans="1:27" ht="18" x14ac:dyDescent="0.25">
      <c r="A35" s="8">
        <v>31</v>
      </c>
      <c r="B35" s="9">
        <v>43903</v>
      </c>
      <c r="C35" s="9" t="s">
        <v>85</v>
      </c>
      <c r="D35" s="8">
        <v>23121</v>
      </c>
      <c r="G35" s="8">
        <f t="shared" si="0"/>
        <v>24.5</v>
      </c>
    </row>
    <row r="36" spans="1:27" ht="18" x14ac:dyDescent="0.25">
      <c r="A36" s="8">
        <v>32</v>
      </c>
      <c r="B36" s="9">
        <v>43905</v>
      </c>
      <c r="C36" s="9" t="s">
        <v>89</v>
      </c>
      <c r="D36" s="8">
        <v>23181</v>
      </c>
      <c r="G36" s="8">
        <f t="shared" si="0"/>
        <v>30</v>
      </c>
    </row>
    <row r="37" spans="1:27" ht="18" x14ac:dyDescent="0.25">
      <c r="A37" s="8">
        <v>33</v>
      </c>
      <c r="B37" s="9">
        <v>43908</v>
      </c>
      <c r="C37" s="9" t="s">
        <v>81</v>
      </c>
      <c r="D37" s="8">
        <v>23250</v>
      </c>
      <c r="G37" s="8">
        <f t="shared" si="0"/>
        <v>23</v>
      </c>
    </row>
    <row r="38" spans="1:27" ht="18" x14ac:dyDescent="0.25">
      <c r="A38" s="8">
        <v>24</v>
      </c>
      <c r="B38" s="9">
        <v>43909</v>
      </c>
      <c r="C38" s="9" t="s">
        <v>87</v>
      </c>
      <c r="D38" s="8">
        <v>23284</v>
      </c>
      <c r="G38" s="8">
        <f t="shared" si="0"/>
        <v>34</v>
      </c>
      <c r="H38" t="s">
        <v>91</v>
      </c>
    </row>
    <row r="39" spans="1:27" ht="18" x14ac:dyDescent="0.25">
      <c r="A39" s="8">
        <v>25</v>
      </c>
      <c r="B39" s="9">
        <v>43910</v>
      </c>
      <c r="C39" s="9" t="s">
        <v>85</v>
      </c>
      <c r="D39" s="8">
        <v>23302</v>
      </c>
      <c r="G39" s="8">
        <f t="shared" si="0"/>
        <v>18</v>
      </c>
    </row>
    <row r="40" spans="1:27" ht="18" x14ac:dyDescent="0.25">
      <c r="A40" s="8">
        <v>26</v>
      </c>
      <c r="B40" s="9">
        <v>43911</v>
      </c>
      <c r="C40" s="9" t="s">
        <v>80</v>
      </c>
      <c r="D40" s="8">
        <v>23318</v>
      </c>
      <c r="G40" s="8">
        <f t="shared" si="0"/>
        <v>16</v>
      </c>
    </row>
    <row r="41" spans="1:27" ht="18" x14ac:dyDescent="0.25">
      <c r="A41" s="8">
        <v>27</v>
      </c>
      <c r="B41" s="9">
        <v>43912</v>
      </c>
      <c r="C41" s="9" t="s">
        <v>90</v>
      </c>
      <c r="D41" s="8">
        <v>23335</v>
      </c>
      <c r="G41" s="8">
        <f t="shared" si="0"/>
        <v>17</v>
      </c>
    </row>
    <row r="42" spans="1:27" ht="18" x14ac:dyDescent="0.25">
      <c r="A42" s="8">
        <v>28</v>
      </c>
      <c r="B42" s="9">
        <v>43913</v>
      </c>
      <c r="C42" s="9" t="s">
        <v>82</v>
      </c>
      <c r="D42" s="8">
        <v>23352</v>
      </c>
      <c r="G42" s="8">
        <f t="shared" si="0"/>
        <v>17</v>
      </c>
    </row>
    <row r="43" spans="1:27" ht="18" x14ac:dyDescent="0.25">
      <c r="A43" s="8">
        <v>29</v>
      </c>
      <c r="B43" s="9">
        <v>43914</v>
      </c>
      <c r="C43" s="9" t="s">
        <v>83</v>
      </c>
      <c r="D43" s="8">
        <v>23370</v>
      </c>
      <c r="G43" s="8">
        <f t="shared" si="0"/>
        <v>18</v>
      </c>
    </row>
    <row r="44" spans="1:27" ht="18" x14ac:dyDescent="0.25">
      <c r="A44" s="8">
        <v>30</v>
      </c>
      <c r="B44" s="9">
        <v>43915</v>
      </c>
      <c r="C44" s="9" t="s">
        <v>86</v>
      </c>
      <c r="D44" s="8">
        <v>23387</v>
      </c>
      <c r="G44" s="8">
        <f t="shared" si="0"/>
        <v>17</v>
      </c>
    </row>
    <row r="45" spans="1:27" ht="18" x14ac:dyDescent="0.25">
      <c r="A45" s="8">
        <v>31</v>
      </c>
      <c r="B45" s="9">
        <v>43916</v>
      </c>
      <c r="C45" s="9" t="s">
        <v>87</v>
      </c>
      <c r="D45" s="8">
        <v>23404</v>
      </c>
      <c r="G45" s="8">
        <f t="shared" si="0"/>
        <v>17</v>
      </c>
    </row>
    <row r="46" spans="1:27" ht="18" x14ac:dyDescent="0.25">
      <c r="A46" s="8">
        <v>32</v>
      </c>
      <c r="B46" s="9">
        <v>43917</v>
      </c>
      <c r="C46" s="9" t="s">
        <v>85</v>
      </c>
      <c r="D46" s="8">
        <v>23421</v>
      </c>
      <c r="G46" s="8">
        <f t="shared" si="0"/>
        <v>17</v>
      </c>
    </row>
    <row r="47" spans="1:27" ht="18" x14ac:dyDescent="0.25">
      <c r="A47" s="8">
        <v>33</v>
      </c>
      <c r="B47" s="9">
        <v>43918</v>
      </c>
      <c r="C47" s="9" t="s">
        <v>80</v>
      </c>
      <c r="D47" s="8">
        <v>23434</v>
      </c>
      <c r="G47" s="8">
        <f t="shared" si="0"/>
        <v>13</v>
      </c>
    </row>
    <row r="48" spans="1:27" ht="18" x14ac:dyDescent="0.25">
      <c r="A48" s="8">
        <v>34</v>
      </c>
      <c r="B48" s="9">
        <v>43919</v>
      </c>
      <c r="C48" s="9" t="s">
        <v>90</v>
      </c>
      <c r="D48" s="8">
        <v>23445</v>
      </c>
      <c r="G48" s="8">
        <f t="shared" si="0"/>
        <v>11</v>
      </c>
    </row>
    <row r="49" spans="1:7" ht="18" x14ac:dyDescent="0.25">
      <c r="A49" s="8">
        <v>35</v>
      </c>
      <c r="B49" s="9">
        <v>43920</v>
      </c>
      <c r="C49" s="9" t="s">
        <v>82</v>
      </c>
      <c r="D49" s="8">
        <v>23460</v>
      </c>
      <c r="G49" s="8">
        <f t="shared" si="0"/>
        <v>15</v>
      </c>
    </row>
    <row r="50" spans="1:7" ht="18" x14ac:dyDescent="0.25">
      <c r="A50" s="8">
        <v>36</v>
      </c>
      <c r="B50" s="9">
        <v>43921</v>
      </c>
      <c r="C50" s="9" t="s">
        <v>83</v>
      </c>
      <c r="D50" s="8">
        <v>23475</v>
      </c>
      <c r="G50" s="8">
        <f t="shared" si="0"/>
        <v>15</v>
      </c>
    </row>
    <row r="51" spans="1:7" ht="18" x14ac:dyDescent="0.25">
      <c r="A51" s="8">
        <v>37</v>
      </c>
      <c r="B51" s="9">
        <v>43922</v>
      </c>
      <c r="C51" s="9" t="s">
        <v>86</v>
      </c>
      <c r="D51" s="8">
        <v>23493</v>
      </c>
      <c r="G51" s="8">
        <f t="shared" si="0"/>
        <v>18</v>
      </c>
    </row>
    <row r="52" spans="1:7" ht="18" x14ac:dyDescent="0.25">
      <c r="A52" s="8">
        <v>38</v>
      </c>
      <c r="B52" s="9">
        <v>43923</v>
      </c>
      <c r="C52" s="9" t="s">
        <v>87</v>
      </c>
      <c r="D52" s="8">
        <v>23508</v>
      </c>
      <c r="G52" s="8">
        <f t="shared" si="0"/>
        <v>15</v>
      </c>
    </row>
    <row r="53" spans="1:7" ht="18" x14ac:dyDescent="0.25">
      <c r="A53" s="8">
        <v>39</v>
      </c>
      <c r="B53" s="9">
        <v>43924</v>
      </c>
      <c r="C53" s="9" t="s">
        <v>85</v>
      </c>
      <c r="D53" s="8">
        <v>23523</v>
      </c>
      <c r="G53" s="8">
        <f t="shared" si="0"/>
        <v>15</v>
      </c>
    </row>
    <row r="54" spans="1:7" ht="18" x14ac:dyDescent="0.25">
      <c r="A54" s="8">
        <v>40</v>
      </c>
      <c r="B54" s="9">
        <v>43925</v>
      </c>
      <c r="C54" s="9" t="s">
        <v>80</v>
      </c>
      <c r="D54" s="8">
        <v>23537</v>
      </c>
      <c r="G54" s="8">
        <f t="shared" si="0"/>
        <v>14</v>
      </c>
    </row>
    <row r="55" spans="1:7" ht="18" x14ac:dyDescent="0.25">
      <c r="A55" s="8">
        <v>41</v>
      </c>
      <c r="B55" s="9">
        <v>43926</v>
      </c>
      <c r="C55" s="9" t="s">
        <v>90</v>
      </c>
      <c r="D55" s="8">
        <v>23551</v>
      </c>
      <c r="G55" s="8">
        <f t="shared" si="0"/>
        <v>14</v>
      </c>
    </row>
    <row r="56" spans="1:7" ht="18" x14ac:dyDescent="0.25">
      <c r="A56" s="8">
        <v>42</v>
      </c>
      <c r="B56" s="9">
        <v>43927</v>
      </c>
      <c r="C56" s="9" t="s">
        <v>82</v>
      </c>
      <c r="D56" s="8">
        <v>23566</v>
      </c>
      <c r="G56" s="8">
        <f t="shared" si="0"/>
        <v>15</v>
      </c>
    </row>
    <row r="57" spans="1:7" ht="18" x14ac:dyDescent="0.25">
      <c r="A57" s="8">
        <v>43</v>
      </c>
      <c r="B57" s="9">
        <v>43928</v>
      </c>
      <c r="C57" s="9" t="s">
        <v>83</v>
      </c>
      <c r="D57" s="8">
        <v>23581</v>
      </c>
      <c r="G57" s="8">
        <f t="shared" si="0"/>
        <v>15</v>
      </c>
    </row>
    <row r="58" spans="1:7" ht="18" x14ac:dyDescent="0.25">
      <c r="A58" s="8">
        <v>44</v>
      </c>
      <c r="B58" s="9">
        <v>43929</v>
      </c>
      <c r="C58" s="9" t="s">
        <v>86</v>
      </c>
      <c r="D58" s="8">
        <v>23596</v>
      </c>
      <c r="G58" s="8">
        <f t="shared" si="0"/>
        <v>15</v>
      </c>
    </row>
    <row r="59" spans="1:7" ht="18" x14ac:dyDescent="0.25">
      <c r="A59" s="8">
        <v>45</v>
      </c>
      <c r="B59" s="9">
        <v>43930</v>
      </c>
      <c r="C59" s="9" t="s">
        <v>87</v>
      </c>
      <c r="D59" s="8">
        <v>23610</v>
      </c>
      <c r="G59" s="8">
        <f t="shared" si="0"/>
        <v>14</v>
      </c>
    </row>
    <row r="60" spans="1:7" ht="18" x14ac:dyDescent="0.25">
      <c r="A60" s="8">
        <v>46</v>
      </c>
      <c r="B60" s="9">
        <v>43931</v>
      </c>
      <c r="C60" s="9" t="s">
        <v>85</v>
      </c>
      <c r="D60" s="8">
        <v>23621</v>
      </c>
      <c r="G60" s="8">
        <f t="shared" si="0"/>
        <v>11</v>
      </c>
    </row>
    <row r="61" spans="1:7" ht="18" x14ac:dyDescent="0.25">
      <c r="A61" s="8">
        <v>47</v>
      </c>
      <c r="B61" s="9">
        <v>43932</v>
      </c>
      <c r="C61" s="9" t="s">
        <v>80</v>
      </c>
      <c r="D61" s="8">
        <v>23631</v>
      </c>
      <c r="G61" s="8">
        <f t="shared" si="0"/>
        <v>10</v>
      </c>
    </row>
    <row r="62" spans="1:7" ht="18" x14ac:dyDescent="0.25">
      <c r="A62" s="8">
        <v>48</v>
      </c>
      <c r="B62" s="9">
        <v>43933</v>
      </c>
      <c r="C62" s="9" t="s">
        <v>90</v>
      </c>
      <c r="D62" s="8">
        <v>23644</v>
      </c>
      <c r="G62" s="8">
        <f t="shared" si="0"/>
        <v>13</v>
      </c>
    </row>
    <row r="63" spans="1:7" ht="18" x14ac:dyDescent="0.25">
      <c r="A63" s="8">
        <v>49</v>
      </c>
      <c r="B63" s="9">
        <v>43934</v>
      </c>
      <c r="C63" s="9" t="s">
        <v>82</v>
      </c>
      <c r="D63" s="8">
        <v>23660</v>
      </c>
      <c r="G63" s="8">
        <f t="shared" si="0"/>
        <v>16</v>
      </c>
    </row>
    <row r="64" spans="1:7" ht="18" x14ac:dyDescent="0.25">
      <c r="A64" s="8">
        <v>50</v>
      </c>
      <c r="B64" s="9">
        <v>43935</v>
      </c>
      <c r="C64" s="9" t="s">
        <v>83</v>
      </c>
      <c r="D64" s="8">
        <v>23672</v>
      </c>
      <c r="G64" s="8">
        <f t="shared" si="0"/>
        <v>12</v>
      </c>
    </row>
    <row r="65" spans="1:7" ht="18" x14ac:dyDescent="0.25">
      <c r="A65" s="8">
        <v>51</v>
      </c>
      <c r="B65" s="9">
        <v>43936</v>
      </c>
      <c r="C65" s="9" t="s">
        <v>86</v>
      </c>
      <c r="D65" s="8">
        <v>23682</v>
      </c>
      <c r="G65" s="8">
        <f t="shared" si="0"/>
        <v>10</v>
      </c>
    </row>
    <row r="66" spans="1:7" ht="18" x14ac:dyDescent="0.25">
      <c r="A66" s="8">
        <v>52</v>
      </c>
      <c r="B66" s="9">
        <v>43937</v>
      </c>
      <c r="C66" s="9" t="s">
        <v>87</v>
      </c>
      <c r="D66" s="8">
        <v>23694</v>
      </c>
      <c r="G66" s="8">
        <f t="shared" si="0"/>
        <v>12</v>
      </c>
    </row>
    <row r="67" spans="1:7" ht="18" x14ac:dyDescent="0.25">
      <c r="A67" s="8">
        <v>53</v>
      </c>
      <c r="B67" s="9">
        <v>43938</v>
      </c>
      <c r="C67" s="9" t="s">
        <v>85</v>
      </c>
      <c r="D67" s="8">
        <v>23710</v>
      </c>
      <c r="G67" s="8">
        <f t="shared" si="0"/>
        <v>16</v>
      </c>
    </row>
    <row r="68" spans="1:7" ht="18" x14ac:dyDescent="0.25">
      <c r="A68" s="8">
        <v>54</v>
      </c>
      <c r="B68" s="9">
        <v>43939</v>
      </c>
      <c r="C68" s="9" t="s">
        <v>80</v>
      </c>
      <c r="D68" s="8">
        <v>23724</v>
      </c>
      <c r="G68" s="8">
        <f t="shared" si="0"/>
        <v>14</v>
      </c>
    </row>
    <row r="69" spans="1:7" ht="18" x14ac:dyDescent="0.25">
      <c r="A69" s="8">
        <v>55</v>
      </c>
      <c r="B69" s="9">
        <v>43940</v>
      </c>
      <c r="C69" s="9" t="s">
        <v>90</v>
      </c>
      <c r="D69" s="8">
        <v>23736</v>
      </c>
      <c r="G69" s="8">
        <f t="shared" si="0"/>
        <v>12</v>
      </c>
    </row>
    <row r="70" spans="1:7" ht="18" x14ac:dyDescent="0.25">
      <c r="A70" s="8">
        <v>56</v>
      </c>
      <c r="B70" s="9">
        <v>43941</v>
      </c>
      <c r="C70" s="9" t="s">
        <v>82</v>
      </c>
      <c r="D70" s="8">
        <v>23748</v>
      </c>
      <c r="G70" s="8">
        <f t="shared" si="0"/>
        <v>12</v>
      </c>
    </row>
    <row r="71" spans="1:7" ht="18" x14ac:dyDescent="0.25">
      <c r="A71" s="8">
        <v>57</v>
      </c>
      <c r="B71" s="9">
        <v>43942</v>
      </c>
      <c r="C71" s="9" t="s">
        <v>83</v>
      </c>
      <c r="D71" s="8">
        <v>23760</v>
      </c>
      <c r="G71" s="8">
        <f t="shared" si="0"/>
        <v>12</v>
      </c>
    </row>
    <row r="72" spans="1:7" ht="18" x14ac:dyDescent="0.25">
      <c r="A72" s="8">
        <v>58</v>
      </c>
      <c r="B72" s="9">
        <v>43943</v>
      </c>
      <c r="C72" s="9" t="s">
        <v>86</v>
      </c>
      <c r="D72" s="8">
        <v>23774</v>
      </c>
      <c r="G72" s="8">
        <f t="shared" ref="G72:G135" si="1">(D72-D71)/(B72-B71)</f>
        <v>14</v>
      </c>
    </row>
    <row r="73" spans="1:7" ht="18" x14ac:dyDescent="0.25">
      <c r="A73" s="8">
        <v>59</v>
      </c>
      <c r="B73" s="9">
        <v>43944</v>
      </c>
      <c r="C73" s="9" t="s">
        <v>87</v>
      </c>
      <c r="D73" s="8">
        <v>23787</v>
      </c>
      <c r="G73" s="8">
        <f t="shared" si="1"/>
        <v>13</v>
      </c>
    </row>
    <row r="74" spans="1:7" ht="18" x14ac:dyDescent="0.25">
      <c r="A74" s="8">
        <v>60</v>
      </c>
      <c r="B74" s="9">
        <v>43945</v>
      </c>
      <c r="C74" s="9" t="s">
        <v>85</v>
      </c>
      <c r="D74" s="8">
        <v>23800</v>
      </c>
      <c r="G74" s="8">
        <f t="shared" si="1"/>
        <v>13</v>
      </c>
    </row>
    <row r="75" spans="1:7" ht="18" x14ac:dyDescent="0.25">
      <c r="A75" s="8">
        <v>61</v>
      </c>
      <c r="B75" s="9">
        <v>43946</v>
      </c>
      <c r="C75" s="9" t="s">
        <v>80</v>
      </c>
      <c r="D75" s="8">
        <v>23812</v>
      </c>
      <c r="G75" s="8">
        <f t="shared" si="1"/>
        <v>12</v>
      </c>
    </row>
    <row r="76" spans="1:7" ht="18" x14ac:dyDescent="0.25">
      <c r="A76" s="8">
        <v>62</v>
      </c>
      <c r="B76" s="9">
        <v>43947</v>
      </c>
      <c r="C76" s="9" t="s">
        <v>90</v>
      </c>
      <c r="D76" s="8">
        <v>23824</v>
      </c>
      <c r="G76" s="8">
        <f t="shared" si="1"/>
        <v>12</v>
      </c>
    </row>
    <row r="77" spans="1:7" ht="18" x14ac:dyDescent="0.25">
      <c r="A77" s="8">
        <v>63</v>
      </c>
      <c r="B77" s="9">
        <v>43948</v>
      </c>
      <c r="C77" s="9" t="s">
        <v>82</v>
      </c>
      <c r="D77" s="8">
        <v>23838</v>
      </c>
      <c r="G77" s="8">
        <f t="shared" si="1"/>
        <v>14</v>
      </c>
    </row>
    <row r="78" spans="1:7" ht="18" x14ac:dyDescent="0.25">
      <c r="A78" s="8">
        <v>64</v>
      </c>
      <c r="B78" s="9">
        <v>43949</v>
      </c>
      <c r="C78" s="9" t="s">
        <v>83</v>
      </c>
      <c r="D78" s="8">
        <v>23849</v>
      </c>
      <c r="G78" s="8">
        <f t="shared" si="1"/>
        <v>11</v>
      </c>
    </row>
    <row r="79" spans="1:7" ht="18" x14ac:dyDescent="0.25">
      <c r="A79" s="8">
        <v>65</v>
      </c>
      <c r="B79" s="9">
        <v>43950</v>
      </c>
      <c r="C79" s="9" t="s">
        <v>86</v>
      </c>
      <c r="D79" s="8">
        <v>23862</v>
      </c>
      <c r="G79" s="8">
        <f t="shared" si="1"/>
        <v>13</v>
      </c>
    </row>
    <row r="80" spans="1:7" ht="18" x14ac:dyDescent="0.25">
      <c r="A80" s="8">
        <v>66</v>
      </c>
      <c r="B80" s="9">
        <v>43951</v>
      </c>
      <c r="C80" s="9" t="s">
        <v>87</v>
      </c>
      <c r="D80" s="8">
        <v>23874</v>
      </c>
      <c r="G80" s="8">
        <f t="shared" si="1"/>
        <v>12</v>
      </c>
    </row>
    <row r="81" spans="1:7" ht="18" x14ac:dyDescent="0.25">
      <c r="A81" s="8">
        <v>67</v>
      </c>
      <c r="B81" s="9">
        <v>43952</v>
      </c>
      <c r="C81" s="9" t="s">
        <v>85</v>
      </c>
      <c r="D81" s="8">
        <v>23886</v>
      </c>
      <c r="G81" s="8">
        <f t="shared" si="1"/>
        <v>12</v>
      </c>
    </row>
    <row r="82" spans="1:7" ht="18" x14ac:dyDescent="0.25">
      <c r="A82" s="8">
        <v>68</v>
      </c>
      <c r="B82" s="9">
        <v>43953</v>
      </c>
      <c r="C82" s="9" t="s">
        <v>80</v>
      </c>
      <c r="D82" s="8">
        <v>23898</v>
      </c>
      <c r="G82" s="8">
        <f t="shared" si="1"/>
        <v>12</v>
      </c>
    </row>
    <row r="83" spans="1:7" ht="18" x14ac:dyDescent="0.25">
      <c r="A83" s="8">
        <v>69</v>
      </c>
      <c r="B83" s="9">
        <v>43954</v>
      </c>
      <c r="C83" s="9" t="s">
        <v>90</v>
      </c>
      <c r="D83" s="8">
        <v>23911</v>
      </c>
      <c r="G83" s="8">
        <f t="shared" si="1"/>
        <v>13</v>
      </c>
    </row>
    <row r="84" spans="1:7" ht="18" x14ac:dyDescent="0.25">
      <c r="A84" s="8">
        <v>70</v>
      </c>
      <c r="B84" s="9">
        <v>43955</v>
      </c>
      <c r="C84" s="9" t="s">
        <v>82</v>
      </c>
      <c r="D84" s="8">
        <v>23926</v>
      </c>
      <c r="G84" s="8">
        <f t="shared" si="1"/>
        <v>15</v>
      </c>
    </row>
    <row r="85" spans="1:7" ht="18" x14ac:dyDescent="0.25">
      <c r="A85" s="8">
        <v>71</v>
      </c>
      <c r="B85" s="9">
        <v>43956</v>
      </c>
      <c r="C85" s="9" t="s">
        <v>83</v>
      </c>
      <c r="D85" s="8">
        <v>23940</v>
      </c>
      <c r="G85" s="8">
        <f t="shared" si="1"/>
        <v>14</v>
      </c>
    </row>
    <row r="86" spans="1:7" ht="18" x14ac:dyDescent="0.25">
      <c r="A86" s="8">
        <v>72</v>
      </c>
      <c r="B86" s="9">
        <v>43957</v>
      </c>
      <c r="C86" s="9" t="s">
        <v>86</v>
      </c>
      <c r="D86" s="8">
        <v>23955</v>
      </c>
      <c r="G86" s="8">
        <f t="shared" si="1"/>
        <v>15</v>
      </c>
    </row>
    <row r="87" spans="1:7" ht="18" x14ac:dyDescent="0.25">
      <c r="A87" s="8">
        <v>73</v>
      </c>
      <c r="B87" s="9">
        <v>43958</v>
      </c>
      <c r="C87" s="9" t="s">
        <v>87</v>
      </c>
      <c r="D87" s="8">
        <v>23980</v>
      </c>
      <c r="G87" s="8">
        <f t="shared" si="1"/>
        <v>25</v>
      </c>
    </row>
    <row r="88" spans="1:7" ht="18" x14ac:dyDescent="0.25">
      <c r="A88" s="8">
        <v>74</v>
      </c>
      <c r="B88" s="9">
        <v>43959</v>
      </c>
      <c r="C88" s="9" t="s">
        <v>85</v>
      </c>
      <c r="D88" s="8">
        <v>23998</v>
      </c>
      <c r="G88" s="8">
        <f t="shared" si="1"/>
        <v>18</v>
      </c>
    </row>
    <row r="89" spans="1:7" ht="18" x14ac:dyDescent="0.25">
      <c r="A89" s="8">
        <v>75</v>
      </c>
      <c r="B89" s="9">
        <v>43960</v>
      </c>
      <c r="C89" s="9" t="s">
        <v>80</v>
      </c>
      <c r="D89" s="8">
        <v>24020</v>
      </c>
      <c r="G89" s="8">
        <f t="shared" si="1"/>
        <v>22</v>
      </c>
    </row>
    <row r="90" spans="1:7" ht="18" x14ac:dyDescent="0.25">
      <c r="A90" s="8">
        <v>76</v>
      </c>
      <c r="B90" s="9">
        <v>43961</v>
      </c>
      <c r="C90" s="9" t="s">
        <v>90</v>
      </c>
      <c r="D90" s="8">
        <v>24038</v>
      </c>
      <c r="G90" s="8">
        <f t="shared" si="1"/>
        <v>18</v>
      </c>
    </row>
    <row r="91" spans="1:7" ht="18" x14ac:dyDescent="0.25">
      <c r="A91" s="8">
        <v>77</v>
      </c>
      <c r="B91" s="9">
        <v>43962</v>
      </c>
      <c r="C91" s="9" t="s">
        <v>82</v>
      </c>
      <c r="D91" s="8">
        <v>24055</v>
      </c>
      <c r="G91" s="8">
        <f t="shared" si="1"/>
        <v>17</v>
      </c>
    </row>
    <row r="92" spans="1:7" ht="18" x14ac:dyDescent="0.25">
      <c r="A92" s="8">
        <v>78</v>
      </c>
      <c r="B92" s="9">
        <v>43963</v>
      </c>
      <c r="C92" s="9" t="s">
        <v>83</v>
      </c>
      <c r="D92" s="8">
        <v>24075</v>
      </c>
      <c r="G92" s="8">
        <f t="shared" si="1"/>
        <v>20</v>
      </c>
    </row>
    <row r="93" spans="1:7" ht="18" x14ac:dyDescent="0.25">
      <c r="A93" s="8">
        <v>79</v>
      </c>
      <c r="B93" s="9">
        <v>43964</v>
      </c>
      <c r="C93" s="9" t="s">
        <v>86</v>
      </c>
      <c r="D93" s="8">
        <v>24095</v>
      </c>
      <c r="G93" s="8">
        <f t="shared" si="1"/>
        <v>20</v>
      </c>
    </row>
    <row r="94" spans="1:7" ht="18" x14ac:dyDescent="0.25">
      <c r="A94" s="8">
        <v>80</v>
      </c>
      <c r="B94" s="9">
        <v>43965</v>
      </c>
      <c r="C94" s="9" t="s">
        <v>87</v>
      </c>
      <c r="D94" s="8">
        <v>24115</v>
      </c>
      <c r="G94" s="8">
        <f t="shared" si="1"/>
        <v>20</v>
      </c>
    </row>
    <row r="95" spans="1:7" ht="18" x14ac:dyDescent="0.25">
      <c r="A95" s="8">
        <v>81</v>
      </c>
      <c r="B95" s="9">
        <v>43966</v>
      </c>
      <c r="C95" s="9" t="s">
        <v>85</v>
      </c>
      <c r="D95" s="8">
        <v>24130</v>
      </c>
      <c r="G95" s="8">
        <f t="shared" si="1"/>
        <v>15</v>
      </c>
    </row>
    <row r="96" spans="1:7" ht="18" x14ac:dyDescent="0.25">
      <c r="A96" s="8">
        <v>82</v>
      </c>
      <c r="B96" s="9">
        <v>43967</v>
      </c>
      <c r="C96" s="9" t="s">
        <v>80</v>
      </c>
      <c r="D96" s="8">
        <v>24148</v>
      </c>
      <c r="G96" s="8">
        <f t="shared" si="1"/>
        <v>18</v>
      </c>
    </row>
    <row r="97" spans="1:8" ht="18" x14ac:dyDescent="0.25">
      <c r="A97" s="8">
        <v>83</v>
      </c>
      <c r="B97" s="9">
        <v>43968</v>
      </c>
      <c r="C97" s="9" t="s">
        <v>90</v>
      </c>
      <c r="D97" s="8">
        <v>24166</v>
      </c>
      <c r="G97" s="8">
        <f t="shared" si="1"/>
        <v>18</v>
      </c>
      <c r="H97" t="s">
        <v>93</v>
      </c>
    </row>
    <row r="98" spans="1:8" ht="18" x14ac:dyDescent="0.25">
      <c r="A98" s="8">
        <v>84</v>
      </c>
      <c r="B98" s="9">
        <v>43969</v>
      </c>
      <c r="C98" s="9" t="s">
        <v>82</v>
      </c>
      <c r="D98" s="8">
        <v>24175</v>
      </c>
      <c r="G98" s="8">
        <f t="shared" si="1"/>
        <v>9</v>
      </c>
      <c r="H98" t="s">
        <v>92</v>
      </c>
    </row>
    <row r="99" spans="1:8" ht="18" x14ac:dyDescent="0.25">
      <c r="A99" s="8">
        <v>85</v>
      </c>
      <c r="B99" s="9">
        <v>43970</v>
      </c>
      <c r="C99" s="9" t="s">
        <v>83</v>
      </c>
      <c r="D99" s="8">
        <v>24190</v>
      </c>
      <c r="G99" s="8">
        <f t="shared" si="1"/>
        <v>15</v>
      </c>
    </row>
    <row r="100" spans="1:8" ht="18" x14ac:dyDescent="0.25">
      <c r="A100" s="8">
        <v>86</v>
      </c>
      <c r="B100" s="9">
        <v>43971</v>
      </c>
      <c r="C100" s="9" t="s">
        <v>86</v>
      </c>
      <c r="D100" s="8">
        <v>24205</v>
      </c>
      <c r="G100" s="8">
        <f t="shared" si="1"/>
        <v>15</v>
      </c>
    </row>
    <row r="101" spans="1:8" ht="18" x14ac:dyDescent="0.25">
      <c r="A101" s="8">
        <v>87</v>
      </c>
      <c r="B101" s="9">
        <v>43972</v>
      </c>
      <c r="C101" s="9" t="s">
        <v>87</v>
      </c>
      <c r="D101" s="8">
        <v>24220</v>
      </c>
      <c r="G101" s="8">
        <f t="shared" si="1"/>
        <v>15</v>
      </c>
    </row>
    <row r="102" spans="1:8" ht="18" x14ac:dyDescent="0.25">
      <c r="A102" s="8">
        <v>88</v>
      </c>
      <c r="B102" s="9">
        <v>43973</v>
      </c>
      <c r="C102" s="9" t="s">
        <v>85</v>
      </c>
      <c r="D102" s="8">
        <v>24235</v>
      </c>
      <c r="G102" s="8">
        <f t="shared" si="1"/>
        <v>15</v>
      </c>
    </row>
    <row r="103" spans="1:8" ht="18" x14ac:dyDescent="0.25">
      <c r="A103" s="8">
        <v>89</v>
      </c>
      <c r="B103" s="9">
        <v>43974</v>
      </c>
      <c r="C103" s="9" t="s">
        <v>80</v>
      </c>
      <c r="D103" s="8">
        <v>24245</v>
      </c>
      <c r="G103" s="8">
        <f t="shared" si="1"/>
        <v>10</v>
      </c>
    </row>
    <row r="104" spans="1:8" ht="18" x14ac:dyDescent="0.25">
      <c r="A104" s="8">
        <v>90</v>
      </c>
      <c r="B104" s="9">
        <v>43975</v>
      </c>
      <c r="C104" s="9" t="s">
        <v>90</v>
      </c>
      <c r="D104" s="8">
        <v>24255</v>
      </c>
      <c r="G104" s="8">
        <f t="shared" si="1"/>
        <v>10</v>
      </c>
    </row>
    <row r="105" spans="1:8" ht="18" x14ac:dyDescent="0.25">
      <c r="A105" s="8">
        <v>91</v>
      </c>
      <c r="B105" s="9">
        <v>43976</v>
      </c>
      <c r="C105" s="9" t="s">
        <v>82</v>
      </c>
      <c r="D105" s="8">
        <v>24270</v>
      </c>
      <c r="G105" s="8">
        <f t="shared" si="1"/>
        <v>15</v>
      </c>
    </row>
    <row r="106" spans="1:8" ht="18" x14ac:dyDescent="0.25">
      <c r="A106" s="8">
        <v>92</v>
      </c>
      <c r="B106" s="9">
        <v>43977</v>
      </c>
      <c r="C106" s="9" t="s">
        <v>83</v>
      </c>
      <c r="D106" s="8">
        <v>24280</v>
      </c>
      <c r="G106" s="8">
        <f t="shared" si="1"/>
        <v>10</v>
      </c>
    </row>
    <row r="107" spans="1:8" ht="18" x14ac:dyDescent="0.25">
      <c r="A107" s="8">
        <v>93</v>
      </c>
      <c r="B107" s="9">
        <v>43978</v>
      </c>
      <c r="C107" s="9" t="s">
        <v>86</v>
      </c>
      <c r="D107" s="8">
        <v>24290</v>
      </c>
      <c r="G107" s="8">
        <f t="shared" si="1"/>
        <v>10</v>
      </c>
    </row>
    <row r="108" spans="1:8" ht="18" x14ac:dyDescent="0.25">
      <c r="A108" s="8">
        <v>94</v>
      </c>
      <c r="B108" s="9">
        <v>43979</v>
      </c>
      <c r="C108" s="9" t="s">
        <v>87</v>
      </c>
      <c r="D108" s="8">
        <v>24305</v>
      </c>
      <c r="G108" s="8">
        <f t="shared" si="1"/>
        <v>15</v>
      </c>
    </row>
    <row r="109" spans="1:8" ht="18" x14ac:dyDescent="0.25">
      <c r="A109" s="8">
        <v>95</v>
      </c>
      <c r="B109" s="9">
        <v>43980</v>
      </c>
      <c r="C109" s="9" t="s">
        <v>85</v>
      </c>
      <c r="D109" s="8">
        <v>24320</v>
      </c>
      <c r="G109" s="8">
        <f t="shared" si="1"/>
        <v>15</v>
      </c>
    </row>
    <row r="110" spans="1:8" ht="18" x14ac:dyDescent="0.25">
      <c r="A110" s="8">
        <v>96</v>
      </c>
      <c r="B110" s="9">
        <v>43981</v>
      </c>
      <c r="C110" s="9" t="s">
        <v>80</v>
      </c>
      <c r="D110" s="8">
        <v>24334</v>
      </c>
      <c r="G110" s="8">
        <f t="shared" si="1"/>
        <v>14</v>
      </c>
    </row>
    <row r="111" spans="1:8" ht="18" x14ac:dyDescent="0.25">
      <c r="A111" s="8">
        <v>97</v>
      </c>
      <c r="B111" s="9">
        <v>43982</v>
      </c>
      <c r="C111" s="9" t="s">
        <v>90</v>
      </c>
      <c r="D111" s="8">
        <v>24343</v>
      </c>
      <c r="G111" s="8">
        <f t="shared" si="1"/>
        <v>9</v>
      </c>
    </row>
    <row r="112" spans="1:8" ht="18" x14ac:dyDescent="0.25">
      <c r="A112" s="8">
        <v>98</v>
      </c>
      <c r="B112" s="9">
        <v>43983</v>
      </c>
      <c r="C112" s="9" t="s">
        <v>82</v>
      </c>
      <c r="D112" s="8">
        <v>24353</v>
      </c>
      <c r="G112" s="8">
        <f t="shared" si="1"/>
        <v>10</v>
      </c>
    </row>
    <row r="113" spans="1:7" ht="18" x14ac:dyDescent="0.25">
      <c r="A113" s="8">
        <v>99</v>
      </c>
      <c r="B113" s="9">
        <v>43984</v>
      </c>
      <c r="C113" s="9" t="s">
        <v>83</v>
      </c>
      <c r="D113" s="8">
        <v>24363</v>
      </c>
      <c r="G113" s="8">
        <f t="shared" si="1"/>
        <v>10</v>
      </c>
    </row>
    <row r="114" spans="1:7" ht="18" x14ac:dyDescent="0.25">
      <c r="A114" s="8">
        <v>100</v>
      </c>
      <c r="B114" s="9">
        <v>43985</v>
      </c>
      <c r="C114" s="9" t="s">
        <v>86</v>
      </c>
      <c r="D114" s="8">
        <v>24375</v>
      </c>
      <c r="G114" s="8">
        <f t="shared" si="1"/>
        <v>12</v>
      </c>
    </row>
    <row r="115" spans="1:7" ht="18" x14ac:dyDescent="0.25">
      <c r="A115" s="8">
        <v>101</v>
      </c>
      <c r="B115" s="9">
        <v>43986</v>
      </c>
      <c r="C115" s="9" t="s">
        <v>87</v>
      </c>
      <c r="D115" s="8">
        <v>24390</v>
      </c>
      <c r="G115" s="8">
        <f t="shared" si="1"/>
        <v>15</v>
      </c>
    </row>
    <row r="116" spans="1:7" ht="18" x14ac:dyDescent="0.25">
      <c r="A116" s="8">
        <v>102</v>
      </c>
      <c r="B116" s="9">
        <v>43987</v>
      </c>
      <c r="C116" s="9" t="s">
        <v>85</v>
      </c>
      <c r="D116" s="8">
        <v>24405</v>
      </c>
      <c r="G116" s="8">
        <f t="shared" si="1"/>
        <v>15</v>
      </c>
    </row>
    <row r="117" spans="1:7" ht="18" x14ac:dyDescent="0.25">
      <c r="A117" s="8">
        <v>103</v>
      </c>
      <c r="B117" s="9">
        <v>43988</v>
      </c>
      <c r="C117" s="9" t="s">
        <v>80</v>
      </c>
      <c r="D117" s="8">
        <v>24425</v>
      </c>
      <c r="G117" s="8">
        <f t="shared" si="1"/>
        <v>20</v>
      </c>
    </row>
    <row r="118" spans="1:7" ht="18" x14ac:dyDescent="0.25">
      <c r="A118" s="8">
        <v>104</v>
      </c>
      <c r="B118" s="9">
        <v>43989</v>
      </c>
      <c r="C118" s="9" t="s">
        <v>90</v>
      </c>
      <c r="D118" s="8">
        <v>24440</v>
      </c>
      <c r="G118" s="8">
        <f t="shared" si="1"/>
        <v>15</v>
      </c>
    </row>
    <row r="119" spans="1:7" ht="18" x14ac:dyDescent="0.25">
      <c r="A119" s="8">
        <v>105</v>
      </c>
      <c r="B119" s="9">
        <v>43990</v>
      </c>
      <c r="C119" s="9" t="s">
        <v>82</v>
      </c>
      <c r="D119" s="8">
        <v>24452</v>
      </c>
      <c r="G119" s="8">
        <f t="shared" si="1"/>
        <v>12</v>
      </c>
    </row>
    <row r="120" spans="1:7" ht="18" x14ac:dyDescent="0.25">
      <c r="A120" s="8">
        <v>106</v>
      </c>
      <c r="B120" s="9">
        <v>43991</v>
      </c>
      <c r="C120" s="9" t="s">
        <v>83</v>
      </c>
      <c r="D120" s="8">
        <v>24464</v>
      </c>
      <c r="G120" s="8">
        <f t="shared" si="1"/>
        <v>12</v>
      </c>
    </row>
    <row r="121" spans="1:7" ht="18" x14ac:dyDescent="0.25">
      <c r="A121" s="8">
        <v>107</v>
      </c>
      <c r="B121" s="9">
        <v>43992</v>
      </c>
      <c r="C121" s="9" t="s">
        <v>86</v>
      </c>
      <c r="D121" s="8">
        <v>24476</v>
      </c>
      <c r="G121" s="8">
        <f t="shared" si="1"/>
        <v>12</v>
      </c>
    </row>
    <row r="122" spans="1:7" ht="18" x14ac:dyDescent="0.25">
      <c r="A122" s="8">
        <v>108</v>
      </c>
      <c r="B122" s="9">
        <v>43993</v>
      </c>
      <c r="C122" s="9" t="s">
        <v>87</v>
      </c>
      <c r="D122" s="8">
        <v>24488</v>
      </c>
      <c r="G122" s="8">
        <f t="shared" si="1"/>
        <v>12</v>
      </c>
    </row>
    <row r="123" spans="1:7" ht="18" x14ac:dyDescent="0.25">
      <c r="A123" s="8">
        <v>109</v>
      </c>
      <c r="B123" s="9">
        <v>43994</v>
      </c>
      <c r="C123" s="9" t="s">
        <v>85</v>
      </c>
      <c r="D123" s="8">
        <v>24500</v>
      </c>
      <c r="G123" s="8">
        <f t="shared" si="1"/>
        <v>12</v>
      </c>
    </row>
    <row r="124" spans="1:7" ht="18" x14ac:dyDescent="0.25">
      <c r="A124" s="8">
        <v>110</v>
      </c>
      <c r="B124" s="9">
        <v>43995</v>
      </c>
      <c r="C124" s="9" t="s">
        <v>80</v>
      </c>
      <c r="D124" s="8">
        <v>24511</v>
      </c>
      <c r="G124" s="8">
        <f t="shared" si="1"/>
        <v>11</v>
      </c>
    </row>
    <row r="125" spans="1:7" ht="18" x14ac:dyDescent="0.25">
      <c r="A125" s="8">
        <v>111</v>
      </c>
      <c r="B125" s="9">
        <v>43996</v>
      </c>
      <c r="C125" s="9" t="s">
        <v>90</v>
      </c>
      <c r="D125" s="8">
        <v>24522</v>
      </c>
      <c r="G125" s="8">
        <f t="shared" si="1"/>
        <v>11</v>
      </c>
    </row>
    <row r="126" spans="1:7" ht="18" x14ac:dyDescent="0.25">
      <c r="A126" s="8">
        <v>112</v>
      </c>
      <c r="B126" s="9">
        <v>43997</v>
      </c>
      <c r="C126" s="9" t="s">
        <v>82</v>
      </c>
      <c r="D126" s="8">
        <v>24533</v>
      </c>
      <c r="G126" s="8">
        <f t="shared" si="1"/>
        <v>11</v>
      </c>
    </row>
    <row r="127" spans="1:7" ht="18" x14ac:dyDescent="0.25">
      <c r="A127" s="8">
        <v>113</v>
      </c>
      <c r="B127" s="9">
        <v>43998</v>
      </c>
      <c r="C127" s="9" t="s">
        <v>83</v>
      </c>
      <c r="D127" s="8">
        <v>24544</v>
      </c>
      <c r="G127" s="8">
        <f t="shared" si="1"/>
        <v>11</v>
      </c>
    </row>
    <row r="128" spans="1:7" ht="18" x14ac:dyDescent="0.25">
      <c r="A128" s="8">
        <v>114</v>
      </c>
      <c r="B128" s="9">
        <v>43999</v>
      </c>
      <c r="C128" s="9" t="s">
        <v>86</v>
      </c>
      <c r="D128" s="8">
        <v>24555</v>
      </c>
      <c r="G128" s="8">
        <f t="shared" si="1"/>
        <v>11</v>
      </c>
    </row>
    <row r="129" spans="1:7" ht="18" x14ac:dyDescent="0.25">
      <c r="A129" s="8">
        <v>115</v>
      </c>
      <c r="B129" s="9">
        <v>44000</v>
      </c>
      <c r="C129" s="9" t="s">
        <v>87</v>
      </c>
      <c r="D129" s="8">
        <v>24566</v>
      </c>
      <c r="G129" s="8">
        <f t="shared" si="1"/>
        <v>11</v>
      </c>
    </row>
    <row r="130" spans="1:7" ht="18" x14ac:dyDescent="0.25">
      <c r="A130" s="8">
        <v>116</v>
      </c>
      <c r="B130" s="9">
        <v>44001</v>
      </c>
      <c r="C130" s="9" t="s">
        <v>85</v>
      </c>
      <c r="D130" s="8">
        <v>24577</v>
      </c>
      <c r="G130" s="8">
        <f t="shared" si="1"/>
        <v>11</v>
      </c>
    </row>
    <row r="131" spans="1:7" ht="18" x14ac:dyDescent="0.25">
      <c r="A131" s="8">
        <v>117</v>
      </c>
      <c r="B131" s="9">
        <v>44002</v>
      </c>
      <c r="C131" s="9" t="s">
        <v>80</v>
      </c>
      <c r="D131" s="8">
        <v>24588</v>
      </c>
      <c r="G131" s="8">
        <f t="shared" si="1"/>
        <v>11</v>
      </c>
    </row>
    <row r="132" spans="1:7" ht="18" x14ac:dyDescent="0.25">
      <c r="A132" s="8">
        <v>118</v>
      </c>
      <c r="B132" s="9">
        <v>44003</v>
      </c>
      <c r="C132" s="9" t="s">
        <v>90</v>
      </c>
      <c r="D132" s="8">
        <v>24599</v>
      </c>
      <c r="G132" s="8">
        <f t="shared" si="1"/>
        <v>11</v>
      </c>
    </row>
    <row r="133" spans="1:7" ht="18" x14ac:dyDescent="0.25">
      <c r="A133" s="8">
        <v>119</v>
      </c>
      <c r="B133" s="9">
        <v>44004</v>
      </c>
      <c r="C133" s="9" t="s">
        <v>82</v>
      </c>
      <c r="D133" s="8">
        <v>24611</v>
      </c>
      <c r="G133" s="8">
        <f t="shared" si="1"/>
        <v>12</v>
      </c>
    </row>
    <row r="134" spans="1:7" ht="18" x14ac:dyDescent="0.25">
      <c r="A134" s="8">
        <v>120</v>
      </c>
      <c r="B134" s="9">
        <v>44005</v>
      </c>
      <c r="C134" s="9" t="s">
        <v>83</v>
      </c>
      <c r="D134" s="8">
        <v>24624</v>
      </c>
      <c r="G134" s="8">
        <f t="shared" si="1"/>
        <v>13</v>
      </c>
    </row>
    <row r="135" spans="1:7" ht="18" x14ac:dyDescent="0.25">
      <c r="A135" s="8">
        <v>121</v>
      </c>
      <c r="B135" s="9">
        <v>44006</v>
      </c>
      <c r="C135" s="9" t="s">
        <v>86</v>
      </c>
      <c r="D135" s="8">
        <v>24637</v>
      </c>
      <c r="G135" s="8">
        <f t="shared" si="1"/>
        <v>13</v>
      </c>
    </row>
    <row r="136" spans="1:7" ht="18" x14ac:dyDescent="0.25">
      <c r="A136" s="8">
        <v>122</v>
      </c>
      <c r="B136" s="9">
        <v>44007</v>
      </c>
      <c r="C136" s="9" t="s">
        <v>87</v>
      </c>
      <c r="D136" s="8">
        <v>24650</v>
      </c>
      <c r="G136" s="8">
        <f t="shared" ref="G136:G190" si="2">(D136-D135)/(B136-B135)</f>
        <v>13</v>
      </c>
    </row>
    <row r="137" spans="1:7" ht="18" x14ac:dyDescent="0.25">
      <c r="A137" s="8">
        <v>123</v>
      </c>
      <c r="B137" s="9">
        <v>44008</v>
      </c>
      <c r="C137" s="9" t="s">
        <v>85</v>
      </c>
      <c r="D137" s="8">
        <v>24666</v>
      </c>
      <c r="G137" s="8">
        <f t="shared" si="2"/>
        <v>16</v>
      </c>
    </row>
    <row r="138" spans="1:7" ht="18" x14ac:dyDescent="0.25">
      <c r="A138" s="8">
        <v>124</v>
      </c>
      <c r="B138" s="9">
        <v>44009</v>
      </c>
      <c r="C138" s="9" t="s">
        <v>80</v>
      </c>
      <c r="D138" s="8">
        <v>24677</v>
      </c>
      <c r="G138" s="8">
        <f t="shared" si="2"/>
        <v>11</v>
      </c>
    </row>
    <row r="139" spans="1:7" ht="18" x14ac:dyDescent="0.25">
      <c r="A139" s="8">
        <v>125</v>
      </c>
      <c r="B139" s="9">
        <v>44010</v>
      </c>
      <c r="C139" s="9" t="s">
        <v>90</v>
      </c>
      <c r="D139" s="8">
        <v>24688</v>
      </c>
      <c r="G139" s="8">
        <f t="shared" si="2"/>
        <v>11</v>
      </c>
    </row>
    <row r="140" spans="1:7" ht="18" x14ac:dyDescent="0.25">
      <c r="A140" s="8">
        <v>126</v>
      </c>
      <c r="B140" s="9">
        <v>44011</v>
      </c>
      <c r="C140" s="9" t="s">
        <v>82</v>
      </c>
      <c r="D140" s="8">
        <v>24699</v>
      </c>
      <c r="G140" s="8">
        <f t="shared" si="2"/>
        <v>11</v>
      </c>
    </row>
    <row r="141" spans="1:7" ht="18" x14ac:dyDescent="0.25">
      <c r="A141" s="8">
        <v>127</v>
      </c>
      <c r="B141" s="9">
        <v>44012</v>
      </c>
      <c r="C141" s="9" t="s">
        <v>83</v>
      </c>
      <c r="D141" s="8">
        <v>24710</v>
      </c>
      <c r="G141" s="8">
        <f t="shared" si="2"/>
        <v>11</v>
      </c>
    </row>
    <row r="142" spans="1:7" ht="18" x14ac:dyDescent="0.25">
      <c r="A142" s="8">
        <v>128</v>
      </c>
      <c r="B142" s="9">
        <v>44013</v>
      </c>
      <c r="C142" s="9" t="s">
        <v>86</v>
      </c>
      <c r="D142" s="8">
        <v>24721</v>
      </c>
      <c r="G142" s="8">
        <f t="shared" si="2"/>
        <v>11</v>
      </c>
    </row>
    <row r="143" spans="1:7" ht="18" x14ac:dyDescent="0.25">
      <c r="A143" s="8">
        <v>129</v>
      </c>
      <c r="B143" s="9">
        <v>44014</v>
      </c>
      <c r="C143" s="9" t="s">
        <v>87</v>
      </c>
      <c r="D143" s="8">
        <v>24739</v>
      </c>
      <c r="G143" s="8">
        <f t="shared" si="2"/>
        <v>18</v>
      </c>
    </row>
    <row r="144" spans="1:7" ht="18" x14ac:dyDescent="0.25">
      <c r="A144" s="8">
        <v>130</v>
      </c>
      <c r="B144" s="9">
        <v>44015</v>
      </c>
      <c r="C144" s="9" t="s">
        <v>85</v>
      </c>
      <c r="D144" s="8">
        <v>24751</v>
      </c>
      <c r="G144" s="8">
        <f t="shared" si="2"/>
        <v>12</v>
      </c>
    </row>
    <row r="145" spans="1:7" ht="18" x14ac:dyDescent="0.25">
      <c r="A145" s="8">
        <v>131</v>
      </c>
      <c r="B145" s="9">
        <v>44016</v>
      </c>
      <c r="C145" s="9" t="s">
        <v>80</v>
      </c>
      <c r="D145" s="8">
        <v>24763</v>
      </c>
      <c r="G145" s="8">
        <f t="shared" si="2"/>
        <v>12</v>
      </c>
    </row>
    <row r="146" spans="1:7" ht="18" x14ac:dyDescent="0.25">
      <c r="A146" s="8">
        <v>132</v>
      </c>
      <c r="B146" s="9">
        <v>44017</v>
      </c>
      <c r="C146" s="9" t="s">
        <v>90</v>
      </c>
      <c r="D146" s="8">
        <v>24775</v>
      </c>
      <c r="G146" s="8">
        <f t="shared" si="2"/>
        <v>12</v>
      </c>
    </row>
    <row r="147" spans="1:7" ht="18" x14ac:dyDescent="0.25">
      <c r="A147" s="8">
        <v>133</v>
      </c>
      <c r="B147" s="9">
        <v>44018</v>
      </c>
      <c r="C147" s="9" t="s">
        <v>82</v>
      </c>
      <c r="D147" s="8">
        <v>24787</v>
      </c>
      <c r="G147" s="8">
        <f t="shared" si="2"/>
        <v>12</v>
      </c>
    </row>
    <row r="148" spans="1:7" ht="18" x14ac:dyDescent="0.25">
      <c r="A148" s="8">
        <v>134</v>
      </c>
      <c r="B148" s="9">
        <v>44019</v>
      </c>
      <c r="C148" s="9" t="s">
        <v>83</v>
      </c>
      <c r="D148" s="8">
        <v>24799</v>
      </c>
      <c r="G148" s="8">
        <f t="shared" si="2"/>
        <v>12</v>
      </c>
    </row>
    <row r="149" spans="1:7" ht="18" x14ac:dyDescent="0.25">
      <c r="A149" s="8">
        <v>135</v>
      </c>
      <c r="B149" s="9">
        <v>44020</v>
      </c>
      <c r="C149" s="9" t="s">
        <v>86</v>
      </c>
      <c r="D149" s="8">
        <v>24811</v>
      </c>
      <c r="G149" s="8">
        <f t="shared" si="2"/>
        <v>12</v>
      </c>
    </row>
    <row r="150" spans="1:7" ht="18" x14ac:dyDescent="0.25">
      <c r="A150" s="8">
        <v>136</v>
      </c>
      <c r="B150" s="9">
        <v>44021</v>
      </c>
      <c r="C150" s="9" t="s">
        <v>87</v>
      </c>
      <c r="D150" s="8">
        <v>24823</v>
      </c>
      <c r="G150" s="8">
        <f t="shared" si="2"/>
        <v>12</v>
      </c>
    </row>
    <row r="151" spans="1:7" ht="18" x14ac:dyDescent="0.25">
      <c r="A151" s="8">
        <v>137</v>
      </c>
      <c r="B151" s="9">
        <v>44022</v>
      </c>
      <c r="C151" s="9" t="s">
        <v>85</v>
      </c>
      <c r="D151" s="8">
        <v>24835</v>
      </c>
      <c r="G151" s="8">
        <f t="shared" si="2"/>
        <v>12</v>
      </c>
    </row>
    <row r="152" spans="1:7" ht="18" x14ac:dyDescent="0.25">
      <c r="A152" s="8">
        <v>138</v>
      </c>
      <c r="B152" s="9">
        <v>44023</v>
      </c>
      <c r="C152" s="9" t="s">
        <v>80</v>
      </c>
      <c r="D152" s="8">
        <v>24847</v>
      </c>
      <c r="G152" s="8">
        <f t="shared" si="2"/>
        <v>12</v>
      </c>
    </row>
    <row r="153" spans="1:7" ht="18" x14ac:dyDescent="0.25">
      <c r="A153" s="8">
        <v>139</v>
      </c>
      <c r="B153" s="9">
        <v>44024</v>
      </c>
      <c r="C153" s="9" t="s">
        <v>90</v>
      </c>
      <c r="D153" s="8">
        <v>24859</v>
      </c>
      <c r="G153" s="8">
        <f t="shared" si="2"/>
        <v>12</v>
      </c>
    </row>
    <row r="154" spans="1:7" ht="18" x14ac:dyDescent="0.25">
      <c r="A154" s="8">
        <v>140</v>
      </c>
      <c r="B154" s="9">
        <v>44025</v>
      </c>
      <c r="C154" s="9" t="s">
        <v>82</v>
      </c>
      <c r="D154" s="8">
        <v>24861</v>
      </c>
      <c r="G154" s="8">
        <f t="shared" si="2"/>
        <v>2</v>
      </c>
    </row>
    <row r="155" spans="1:7" ht="18" x14ac:dyDescent="0.25">
      <c r="A155" s="8">
        <v>141</v>
      </c>
      <c r="B155" s="9">
        <v>44026</v>
      </c>
      <c r="C155" s="9" t="s">
        <v>83</v>
      </c>
      <c r="D155" s="8">
        <v>24873</v>
      </c>
      <c r="G155" s="8">
        <f t="shared" si="2"/>
        <v>12</v>
      </c>
    </row>
    <row r="156" spans="1:7" ht="18" x14ac:dyDescent="0.25">
      <c r="A156" s="8">
        <v>142</v>
      </c>
      <c r="B156" s="9">
        <v>44027</v>
      </c>
      <c r="C156" s="9" t="s">
        <v>86</v>
      </c>
      <c r="D156" s="8">
        <v>24885</v>
      </c>
      <c r="G156" s="8">
        <f t="shared" si="2"/>
        <v>12</v>
      </c>
    </row>
    <row r="157" spans="1:7" ht="18" x14ac:dyDescent="0.25">
      <c r="A157" s="8">
        <v>143</v>
      </c>
      <c r="B157" s="9">
        <v>44028</v>
      </c>
      <c r="C157" s="9" t="s">
        <v>87</v>
      </c>
      <c r="D157" s="8">
        <v>24897</v>
      </c>
      <c r="G157" s="8">
        <f t="shared" si="2"/>
        <v>12</v>
      </c>
    </row>
    <row r="158" spans="1:7" ht="18" x14ac:dyDescent="0.25">
      <c r="A158" s="8">
        <v>144</v>
      </c>
      <c r="B158" s="9">
        <v>44029</v>
      </c>
      <c r="C158" s="9" t="s">
        <v>85</v>
      </c>
      <c r="D158" s="8">
        <v>24910</v>
      </c>
      <c r="G158" s="8">
        <f t="shared" si="2"/>
        <v>13</v>
      </c>
    </row>
    <row r="159" spans="1:7" ht="18" x14ac:dyDescent="0.25">
      <c r="A159" s="8">
        <v>145</v>
      </c>
      <c r="B159" s="9">
        <v>44030</v>
      </c>
      <c r="C159" s="9" t="s">
        <v>80</v>
      </c>
      <c r="D159" s="8">
        <v>24922</v>
      </c>
      <c r="G159" s="8">
        <f t="shared" si="2"/>
        <v>12</v>
      </c>
    </row>
    <row r="160" spans="1:7" ht="18" x14ac:dyDescent="0.25">
      <c r="A160" s="8">
        <v>146</v>
      </c>
      <c r="B160" s="9">
        <v>44031</v>
      </c>
      <c r="C160" s="9" t="s">
        <v>90</v>
      </c>
      <c r="D160" s="8">
        <v>24935</v>
      </c>
      <c r="G160" s="8">
        <f t="shared" si="2"/>
        <v>13</v>
      </c>
    </row>
    <row r="161" spans="1:7" ht="18" x14ac:dyDescent="0.25">
      <c r="A161" s="8">
        <v>147</v>
      </c>
      <c r="B161" s="9">
        <v>44032</v>
      </c>
      <c r="C161" s="9" t="s">
        <v>82</v>
      </c>
      <c r="D161" s="8">
        <v>24947</v>
      </c>
      <c r="G161" s="8">
        <f t="shared" si="2"/>
        <v>12</v>
      </c>
    </row>
    <row r="162" spans="1:7" ht="18" x14ac:dyDescent="0.25">
      <c r="A162" s="8">
        <v>148</v>
      </c>
      <c r="B162" s="9">
        <v>44033</v>
      </c>
      <c r="C162" s="9" t="s">
        <v>83</v>
      </c>
      <c r="D162" s="8">
        <v>24959</v>
      </c>
      <c r="G162" s="8">
        <f t="shared" si="2"/>
        <v>12</v>
      </c>
    </row>
    <row r="163" spans="1:7" ht="18" x14ac:dyDescent="0.25">
      <c r="A163" s="8">
        <v>149</v>
      </c>
      <c r="B163" s="9">
        <v>44034</v>
      </c>
      <c r="C163" s="9" t="s">
        <v>86</v>
      </c>
      <c r="D163" s="8">
        <v>24972</v>
      </c>
      <c r="G163" s="8">
        <f t="shared" si="2"/>
        <v>13</v>
      </c>
    </row>
    <row r="164" spans="1:7" ht="18" x14ac:dyDescent="0.25">
      <c r="A164" s="8">
        <v>150</v>
      </c>
      <c r="B164" s="9">
        <v>44035</v>
      </c>
      <c r="C164" s="9" t="s">
        <v>87</v>
      </c>
      <c r="D164" s="8">
        <v>24985</v>
      </c>
      <c r="G164" s="8">
        <f t="shared" si="2"/>
        <v>13</v>
      </c>
    </row>
    <row r="165" spans="1:7" ht="18" x14ac:dyDescent="0.25">
      <c r="A165" s="8">
        <v>151</v>
      </c>
      <c r="B165" s="9">
        <v>44036</v>
      </c>
      <c r="C165" s="9" t="s">
        <v>85</v>
      </c>
      <c r="D165" s="8">
        <v>24997</v>
      </c>
      <c r="G165" s="8">
        <f t="shared" si="2"/>
        <v>12</v>
      </c>
    </row>
    <row r="166" spans="1:7" ht="18" x14ac:dyDescent="0.25">
      <c r="A166" s="8">
        <v>152</v>
      </c>
      <c r="B166" s="9">
        <v>44037</v>
      </c>
      <c r="C166" s="9" t="s">
        <v>80</v>
      </c>
      <c r="D166" s="8">
        <v>25010</v>
      </c>
      <c r="G166" s="8">
        <f t="shared" si="2"/>
        <v>13</v>
      </c>
    </row>
    <row r="167" spans="1:7" ht="18" x14ac:dyDescent="0.25">
      <c r="A167" s="8">
        <v>153</v>
      </c>
      <c r="B167" s="9">
        <v>44038</v>
      </c>
      <c r="C167" s="9" t="s">
        <v>90</v>
      </c>
      <c r="D167" s="8">
        <v>25040</v>
      </c>
      <c r="G167" s="8">
        <f t="shared" si="2"/>
        <v>30</v>
      </c>
    </row>
    <row r="168" spans="1:7" ht="18" x14ac:dyDescent="0.25">
      <c r="A168" s="8">
        <v>154</v>
      </c>
      <c r="B168" s="9">
        <v>44039</v>
      </c>
      <c r="C168" s="9" t="s">
        <v>82</v>
      </c>
      <c r="D168" s="8">
        <v>25053</v>
      </c>
      <c r="G168" s="8">
        <f t="shared" si="2"/>
        <v>13</v>
      </c>
    </row>
    <row r="169" spans="1:7" ht="18" x14ac:dyDescent="0.25">
      <c r="A169" s="8">
        <v>155</v>
      </c>
      <c r="B169" s="9">
        <v>44068</v>
      </c>
      <c r="C169" s="9" t="s">
        <v>83</v>
      </c>
      <c r="D169" s="8">
        <v>25410</v>
      </c>
      <c r="G169" s="8">
        <f t="shared" si="2"/>
        <v>12.310344827586206</v>
      </c>
    </row>
    <row r="170" spans="1:7" ht="18" x14ac:dyDescent="0.25">
      <c r="A170" s="8">
        <v>156</v>
      </c>
      <c r="B170" s="9">
        <v>44069</v>
      </c>
      <c r="C170" s="9" t="s">
        <v>86</v>
      </c>
      <c r="D170" s="8">
        <v>25423</v>
      </c>
      <c r="G170" s="8">
        <f t="shared" si="2"/>
        <v>13</v>
      </c>
    </row>
    <row r="171" spans="1:7" ht="18" x14ac:dyDescent="0.25">
      <c r="A171" s="8">
        <v>157</v>
      </c>
      <c r="B171" s="9">
        <v>44070</v>
      </c>
      <c r="C171" s="9" t="s">
        <v>87</v>
      </c>
      <c r="D171" s="8">
        <v>25436</v>
      </c>
      <c r="G171" s="8">
        <f t="shared" si="2"/>
        <v>13</v>
      </c>
    </row>
    <row r="172" spans="1:7" ht="18" x14ac:dyDescent="0.25">
      <c r="A172" s="8">
        <v>158</v>
      </c>
      <c r="B172" s="9">
        <v>44071</v>
      </c>
      <c r="C172" s="9" t="s">
        <v>85</v>
      </c>
      <c r="D172" s="8">
        <v>25449</v>
      </c>
      <c r="G172" s="8">
        <f t="shared" si="2"/>
        <v>13</v>
      </c>
    </row>
    <row r="173" spans="1:7" ht="18" x14ac:dyDescent="0.25">
      <c r="A173" s="8">
        <v>159</v>
      </c>
      <c r="B173" s="9">
        <v>44072</v>
      </c>
      <c r="C173" s="9" t="s">
        <v>80</v>
      </c>
      <c r="D173" s="8">
        <v>25462</v>
      </c>
      <c r="G173" s="8">
        <f t="shared" si="2"/>
        <v>13</v>
      </c>
    </row>
    <row r="174" spans="1:7" ht="18" x14ac:dyDescent="0.25">
      <c r="A174" s="8">
        <v>160</v>
      </c>
      <c r="B174" s="9">
        <v>44073</v>
      </c>
      <c r="C174" s="9" t="s">
        <v>90</v>
      </c>
      <c r="D174" s="8">
        <v>25475</v>
      </c>
      <c r="G174" s="8">
        <f t="shared" si="2"/>
        <v>13</v>
      </c>
    </row>
    <row r="175" spans="1:7" ht="18" x14ac:dyDescent="0.25">
      <c r="A175" s="8">
        <v>161</v>
      </c>
      <c r="B175" s="9">
        <v>44074</v>
      </c>
      <c r="C175" s="9" t="s">
        <v>82</v>
      </c>
      <c r="D175" s="8">
        <v>25488</v>
      </c>
      <c r="G175" s="8">
        <f t="shared" si="2"/>
        <v>13</v>
      </c>
    </row>
    <row r="176" spans="1:7" ht="18" x14ac:dyDescent="0.25">
      <c r="A176" s="8">
        <v>162</v>
      </c>
      <c r="B176" s="9">
        <v>44075</v>
      </c>
      <c r="C176" s="9" t="s">
        <v>83</v>
      </c>
      <c r="D176" s="8">
        <v>25501</v>
      </c>
      <c r="G176" s="8">
        <f t="shared" si="2"/>
        <v>13</v>
      </c>
    </row>
    <row r="177" spans="1:7" ht="18" x14ac:dyDescent="0.25">
      <c r="A177" s="8">
        <v>163</v>
      </c>
      <c r="B177" s="9">
        <v>44076</v>
      </c>
      <c r="C177" s="9" t="s">
        <v>86</v>
      </c>
      <c r="D177" s="8">
        <v>25514</v>
      </c>
      <c r="G177" s="8">
        <f t="shared" si="2"/>
        <v>13</v>
      </c>
    </row>
    <row r="178" spans="1:7" ht="18" x14ac:dyDescent="0.25">
      <c r="A178" s="8">
        <v>164</v>
      </c>
      <c r="B178" s="9">
        <v>44077</v>
      </c>
      <c r="C178" s="9" t="s">
        <v>87</v>
      </c>
      <c r="D178" s="8">
        <v>25527</v>
      </c>
      <c r="G178" s="8">
        <f t="shared" si="2"/>
        <v>13</v>
      </c>
    </row>
    <row r="179" spans="1:7" ht="18" x14ac:dyDescent="0.25">
      <c r="A179" s="8">
        <v>165</v>
      </c>
      <c r="B179" s="9">
        <v>44078</v>
      </c>
      <c r="C179" s="9" t="s">
        <v>85</v>
      </c>
      <c r="D179" s="8">
        <v>25540</v>
      </c>
      <c r="G179" s="8">
        <f t="shared" si="2"/>
        <v>13</v>
      </c>
    </row>
    <row r="180" spans="1:7" ht="18" x14ac:dyDescent="0.25">
      <c r="A180" s="8">
        <v>166</v>
      </c>
      <c r="B180" s="9">
        <v>44079</v>
      </c>
      <c r="C180" s="9" t="s">
        <v>80</v>
      </c>
      <c r="D180" s="8">
        <v>25553</v>
      </c>
      <c r="G180" s="8">
        <f t="shared" si="2"/>
        <v>13</v>
      </c>
    </row>
    <row r="181" spans="1:7" ht="18" x14ac:dyDescent="0.25">
      <c r="A181" s="8">
        <v>167</v>
      </c>
      <c r="B181" s="9">
        <v>44080</v>
      </c>
      <c r="C181" s="9" t="s">
        <v>90</v>
      </c>
      <c r="D181" s="8">
        <v>25566</v>
      </c>
      <c r="G181" s="8">
        <f t="shared" si="2"/>
        <v>13</v>
      </c>
    </row>
    <row r="182" spans="1:7" ht="18" x14ac:dyDescent="0.25">
      <c r="A182" s="8">
        <v>168</v>
      </c>
      <c r="B182" s="9">
        <v>44081</v>
      </c>
      <c r="C182" s="9" t="s">
        <v>82</v>
      </c>
      <c r="D182" s="8">
        <v>25579</v>
      </c>
      <c r="G182" s="8">
        <f t="shared" si="2"/>
        <v>13</v>
      </c>
    </row>
    <row r="183" spans="1:7" ht="18" x14ac:dyDescent="0.25">
      <c r="A183" s="8">
        <v>169</v>
      </c>
      <c r="B183" s="9">
        <v>44082</v>
      </c>
      <c r="C183" s="9" t="s">
        <v>83</v>
      </c>
      <c r="D183" s="8">
        <v>25585</v>
      </c>
      <c r="G183" s="8">
        <f t="shared" si="2"/>
        <v>6</v>
      </c>
    </row>
    <row r="184" spans="1:7" ht="18" x14ac:dyDescent="0.25">
      <c r="A184" s="8">
        <v>170</v>
      </c>
      <c r="B184" s="9">
        <v>44083</v>
      </c>
      <c r="C184" s="9" t="s">
        <v>86</v>
      </c>
      <c r="D184" s="8">
        <v>25590</v>
      </c>
      <c r="G184" s="8">
        <f t="shared" si="2"/>
        <v>5</v>
      </c>
    </row>
    <row r="185" spans="1:7" ht="18" x14ac:dyDescent="0.25">
      <c r="A185" s="8">
        <v>171</v>
      </c>
      <c r="B185" s="9">
        <v>44084</v>
      </c>
      <c r="C185" s="9" t="s">
        <v>87</v>
      </c>
      <c r="D185" s="8">
        <v>25595</v>
      </c>
      <c r="G185" s="8">
        <f t="shared" si="2"/>
        <v>5</v>
      </c>
    </row>
    <row r="186" spans="1:7" ht="18" x14ac:dyDescent="0.25">
      <c r="A186" s="8">
        <v>172</v>
      </c>
      <c r="B186" s="9">
        <v>44085</v>
      </c>
      <c r="C186" s="9" t="s">
        <v>85</v>
      </c>
      <c r="D186" s="8">
        <v>25600</v>
      </c>
      <c r="G186" s="8">
        <f t="shared" si="2"/>
        <v>5</v>
      </c>
    </row>
    <row r="187" spans="1:7" ht="18" x14ac:dyDescent="0.25">
      <c r="A187" s="8">
        <v>173</v>
      </c>
      <c r="B187" s="9">
        <v>44086</v>
      </c>
      <c r="C187" s="9" t="s">
        <v>80</v>
      </c>
      <c r="D187" s="8">
        <v>25618</v>
      </c>
      <c r="G187" s="8">
        <f t="shared" si="2"/>
        <v>18</v>
      </c>
    </row>
    <row r="188" spans="1:7" ht="18" x14ac:dyDescent="0.25">
      <c r="A188" s="8">
        <v>174</v>
      </c>
      <c r="B188" s="9">
        <v>44097</v>
      </c>
      <c r="C188" s="9" t="s">
        <v>83</v>
      </c>
      <c r="D188" s="8">
        <v>25750</v>
      </c>
      <c r="G188" s="8">
        <f t="shared" si="2"/>
        <v>12</v>
      </c>
    </row>
    <row r="189" spans="1:7" ht="18" x14ac:dyDescent="0.25">
      <c r="A189" s="8">
        <v>175</v>
      </c>
      <c r="B189" s="9">
        <v>44104</v>
      </c>
      <c r="C189" s="9" t="s">
        <v>86</v>
      </c>
      <c r="D189" s="8">
        <v>25841</v>
      </c>
      <c r="G189" s="8">
        <f t="shared" si="2"/>
        <v>13</v>
      </c>
    </row>
    <row r="190" spans="1:7" ht="18" x14ac:dyDescent="0.25">
      <c r="A190" s="8">
        <v>176</v>
      </c>
      <c r="B190" s="9">
        <v>44181</v>
      </c>
      <c r="C190" s="9" t="s">
        <v>86</v>
      </c>
      <c r="D190" s="8">
        <v>26923</v>
      </c>
      <c r="G190" s="8">
        <f t="shared" si="2"/>
        <v>14.051948051948052</v>
      </c>
    </row>
    <row r="191" spans="1:7" ht="18" x14ac:dyDescent="0.25">
      <c r="A191" s="8">
        <v>177</v>
      </c>
      <c r="B191" s="9"/>
      <c r="C191" s="9"/>
    </row>
    <row r="192" spans="1:7" ht="18" x14ac:dyDescent="0.25">
      <c r="A192" s="8">
        <v>178</v>
      </c>
      <c r="B192" s="9"/>
      <c r="C192" s="9"/>
    </row>
    <row r="193" spans="1:3" ht="18" x14ac:dyDescent="0.25">
      <c r="A193" s="8">
        <v>179</v>
      </c>
      <c r="B193" s="9"/>
      <c r="C193" s="9"/>
    </row>
    <row r="194" spans="1:3" ht="18" x14ac:dyDescent="0.25">
      <c r="A194" s="8">
        <v>180</v>
      </c>
      <c r="B194" s="9"/>
      <c r="C194" s="9"/>
    </row>
    <row r="195" spans="1:3" ht="18" x14ac:dyDescent="0.25">
      <c r="A195" s="8">
        <v>181</v>
      </c>
      <c r="B195" s="9"/>
      <c r="C195" s="9"/>
    </row>
    <row r="196" spans="1:3" ht="18" x14ac:dyDescent="0.25">
      <c r="A196" s="8">
        <v>182</v>
      </c>
      <c r="B196" s="9"/>
      <c r="C196" s="9"/>
    </row>
    <row r="197" spans="1:3" ht="18" x14ac:dyDescent="0.25">
      <c r="A197" s="8">
        <v>183</v>
      </c>
      <c r="B197" s="9"/>
      <c r="C197" s="9"/>
    </row>
    <row r="198" spans="1:3" ht="18" x14ac:dyDescent="0.25">
      <c r="A198" s="8">
        <v>184</v>
      </c>
      <c r="B198" s="9"/>
      <c r="C198" s="9"/>
    </row>
    <row r="199" spans="1:3" ht="18" x14ac:dyDescent="0.25">
      <c r="A199" s="8">
        <v>185</v>
      </c>
      <c r="B199" s="9"/>
      <c r="C199" s="9"/>
    </row>
    <row r="200" spans="1:3" ht="18" x14ac:dyDescent="0.25">
      <c r="A200" s="8">
        <v>186</v>
      </c>
      <c r="B200" s="9"/>
      <c r="C200" s="9"/>
    </row>
  </sheetData>
  <mergeCells count="1">
    <mergeCell ref="B2:AE2"/>
  </mergeCells>
  <pageMargins left="0.7" right="0.7" top="0.75" bottom="0.75" header="0.3" footer="0.3"/>
  <pageSetup paperSize="9"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4"/>
  <sheetViews>
    <sheetView rightToLeft="1" topLeftCell="A3" workbookViewId="0">
      <selection activeCell="C8" sqref="C8"/>
    </sheetView>
  </sheetViews>
  <sheetFormatPr defaultRowHeight="14.25" x14ac:dyDescent="0.2"/>
  <cols>
    <col min="1" max="1" width="3.875" style="3" bestFit="1" customWidth="1"/>
    <col min="2" max="2" width="4.75" style="21" bestFit="1" customWidth="1"/>
    <col min="3" max="3" width="8.25" style="3" bestFit="1" customWidth="1"/>
    <col min="4" max="4" width="9.75" style="3" customWidth="1"/>
    <col min="5" max="5" width="9" style="3"/>
    <col min="16" max="16" width="10" bestFit="1" customWidth="1"/>
  </cols>
  <sheetData>
    <row r="1" spans="1:20" ht="26.25" x14ac:dyDescent="0.4">
      <c r="B1" s="18"/>
      <c r="C1" s="102" t="s">
        <v>140</v>
      </c>
      <c r="D1" s="102"/>
      <c r="E1" s="102"/>
      <c r="F1" s="102"/>
      <c r="G1" s="102"/>
      <c r="H1" s="102"/>
      <c r="I1" s="102"/>
      <c r="J1" s="102"/>
      <c r="K1" s="102"/>
      <c r="L1" s="102"/>
      <c r="M1" s="102"/>
      <c r="N1" s="102"/>
      <c r="O1" s="102"/>
    </row>
    <row r="2" spans="1:20" ht="26.25" x14ac:dyDescent="0.4">
      <c r="B2" s="18"/>
      <c r="C2" s="99"/>
      <c r="D2" s="99"/>
      <c r="E2" s="99"/>
      <c r="F2" s="99"/>
      <c r="G2" s="99"/>
      <c r="H2" s="99"/>
      <c r="I2" s="99"/>
      <c r="J2" s="99"/>
      <c r="K2" s="99"/>
      <c r="L2" s="99"/>
      <c r="M2" s="99"/>
      <c r="N2" s="99"/>
      <c r="O2" s="99"/>
    </row>
    <row r="3" spans="1:20" x14ac:dyDescent="0.2">
      <c r="B3" s="3"/>
    </row>
    <row r="4" spans="1:20" x14ac:dyDescent="0.2">
      <c r="B4" s="3"/>
      <c r="F4" s="3"/>
      <c r="G4" s="3"/>
      <c r="H4" s="3"/>
      <c r="I4" s="3"/>
      <c r="J4" s="3"/>
      <c r="K4" s="3"/>
      <c r="L4" s="3"/>
      <c r="M4" s="3"/>
      <c r="N4" s="3"/>
      <c r="O4" s="3"/>
      <c r="P4" s="3"/>
      <c r="Q4" s="3"/>
      <c r="R4" s="3"/>
      <c r="S4" s="3"/>
      <c r="T4" s="3"/>
    </row>
    <row r="5" spans="1:20" ht="23.25" x14ac:dyDescent="0.25">
      <c r="A5" s="11"/>
      <c r="B5" s="23" t="s">
        <v>17</v>
      </c>
      <c r="C5" s="24" t="s">
        <v>58</v>
      </c>
      <c r="D5" s="24" t="s">
        <v>59</v>
      </c>
      <c r="E5" s="24" t="s">
        <v>60</v>
      </c>
      <c r="F5" s="24" t="s">
        <v>61</v>
      </c>
      <c r="G5" s="24" t="s">
        <v>62</v>
      </c>
      <c r="H5" s="24" t="s">
        <v>63</v>
      </c>
      <c r="I5" s="24" t="s">
        <v>64</v>
      </c>
      <c r="J5" s="24" t="s">
        <v>65</v>
      </c>
      <c r="K5" s="24" t="s">
        <v>66</v>
      </c>
      <c r="L5" s="24" t="s">
        <v>67</v>
      </c>
      <c r="M5" s="24" t="s">
        <v>68</v>
      </c>
      <c r="N5" s="24" t="s">
        <v>69</v>
      </c>
      <c r="O5" s="24" t="s">
        <v>70</v>
      </c>
      <c r="P5" s="24" t="s">
        <v>71</v>
      </c>
    </row>
    <row r="6" spans="1:20" ht="23.25" x14ac:dyDescent="0.35">
      <c r="A6" s="8"/>
      <c r="B6" s="25">
        <v>1</v>
      </c>
      <c r="C6" s="26">
        <f>Apartment1!D6</f>
        <v>150</v>
      </c>
      <c r="D6" s="26">
        <f>Apartment2!D6</f>
        <v>75</v>
      </c>
      <c r="E6" s="26">
        <f>Apartment3!D6</f>
        <v>150</v>
      </c>
      <c r="F6" s="26">
        <f>Apartment4!D6</f>
        <v>150</v>
      </c>
      <c r="G6" s="26">
        <f>Apartment5!D6</f>
        <v>300</v>
      </c>
      <c r="H6" s="26">
        <f>Apartment6!D6</f>
        <v>300</v>
      </c>
      <c r="I6" s="26">
        <f>Apartment7!D6</f>
        <v>300</v>
      </c>
      <c r="J6" s="26">
        <f>Apartment8!D6</f>
        <v>300</v>
      </c>
      <c r="K6" s="26">
        <f>Apartment9!D6</f>
        <v>150</v>
      </c>
      <c r="L6" s="26">
        <f>Apartment10!D6</f>
        <v>150</v>
      </c>
      <c r="M6" s="26">
        <f>Apartment11!D6</f>
        <v>150</v>
      </c>
      <c r="N6" s="26">
        <f>Apartment12!D6</f>
        <v>250</v>
      </c>
      <c r="O6" s="26">
        <f>Apartment13!D6</f>
        <v>125</v>
      </c>
      <c r="P6" s="26">
        <f>Apartment14!D6</f>
        <v>125</v>
      </c>
    </row>
    <row r="7" spans="1:20" ht="23.25" x14ac:dyDescent="0.35">
      <c r="A7" s="8"/>
      <c r="B7" s="25">
        <v>2</v>
      </c>
      <c r="C7" s="26">
        <f>Apartment1!D7</f>
        <v>150</v>
      </c>
      <c r="D7" s="26">
        <f>Apartment2!D7</f>
        <v>75</v>
      </c>
      <c r="E7" s="26">
        <f>Apartment3!D7</f>
        <v>150</v>
      </c>
      <c r="F7" s="26">
        <f>Apartment4!D7</f>
        <v>150</v>
      </c>
      <c r="G7" s="26">
        <f>Apartment5!D7</f>
        <v>300</v>
      </c>
      <c r="H7" s="26">
        <f>Apartment6!D7</f>
        <v>300</v>
      </c>
      <c r="I7" s="26">
        <f>Apartment7!D7</f>
        <v>300</v>
      </c>
      <c r="J7" s="26">
        <f>Apartment8!D7</f>
        <v>300</v>
      </c>
      <c r="K7" s="26">
        <f>Apartment9!D7</f>
        <v>150</v>
      </c>
      <c r="L7" s="26">
        <f>Apartment10!D7</f>
        <v>150</v>
      </c>
      <c r="M7" s="26">
        <f>Apartment11!D7</f>
        <v>150</v>
      </c>
      <c r="N7" s="26">
        <f>Apartment12!D7</f>
        <v>250</v>
      </c>
      <c r="O7" s="26">
        <f>Apartment13!D7</f>
        <v>125</v>
      </c>
      <c r="P7" s="26">
        <f>Apartment14!D7</f>
        <v>125</v>
      </c>
    </row>
    <row r="8" spans="1:20" ht="23.25" x14ac:dyDescent="0.35">
      <c r="A8" s="8"/>
      <c r="B8" s="25">
        <v>3</v>
      </c>
      <c r="C8" s="26">
        <f>Apartment1!D8</f>
        <v>150</v>
      </c>
      <c r="D8" s="26">
        <f>Apartment2!D8</f>
        <v>75</v>
      </c>
      <c r="E8" s="26">
        <f>Apartment3!D8</f>
        <v>150</v>
      </c>
      <c r="F8" s="26">
        <f>Apartment4!D8</f>
        <v>150</v>
      </c>
      <c r="G8" s="26">
        <f>Apartment5!D8</f>
        <v>300</v>
      </c>
      <c r="H8" s="26">
        <f>Apartment6!D8</f>
        <v>300</v>
      </c>
      <c r="I8" s="26">
        <f>Apartment7!D8</f>
        <v>300</v>
      </c>
      <c r="J8" s="26">
        <f>Apartment8!D8</f>
        <v>300</v>
      </c>
      <c r="K8" s="26">
        <f>Apartment9!D8</f>
        <v>150</v>
      </c>
      <c r="L8" s="26">
        <f>Apartment10!D8</f>
        <v>150</v>
      </c>
      <c r="M8" s="26">
        <f>Apartment11!D8</f>
        <v>150</v>
      </c>
      <c r="N8" s="26">
        <f>Apartment12!D8</f>
        <v>250</v>
      </c>
      <c r="O8" s="26">
        <f>Apartment13!D8</f>
        <v>125</v>
      </c>
      <c r="P8" s="26">
        <f>Apartment14!D8</f>
        <v>125</v>
      </c>
    </row>
    <row r="9" spans="1:20" ht="23.25" x14ac:dyDescent="0.35">
      <c r="A9" s="8"/>
      <c r="B9" s="25">
        <v>4</v>
      </c>
      <c r="C9" s="26">
        <f>Apartment1!D9</f>
        <v>150</v>
      </c>
      <c r="D9" s="26">
        <f>Apartment2!D9</f>
        <v>75</v>
      </c>
      <c r="E9" s="26">
        <f>Apartment3!D9</f>
        <v>150</v>
      </c>
      <c r="F9" s="26">
        <f>Apartment4!D9</f>
        <v>150</v>
      </c>
      <c r="G9" s="26">
        <f>Apartment5!D9</f>
        <v>300</v>
      </c>
      <c r="H9" s="26">
        <f>Apartment6!D9</f>
        <v>300</v>
      </c>
      <c r="I9" s="26">
        <f>Apartment7!D9</f>
        <v>300</v>
      </c>
      <c r="J9" s="26">
        <f>Apartment8!D9</f>
        <v>300</v>
      </c>
      <c r="K9" s="26">
        <f>Apartment9!D9</f>
        <v>150</v>
      </c>
      <c r="L9" s="26">
        <f>Apartment10!D9</f>
        <v>150</v>
      </c>
      <c r="M9" s="26">
        <f>Apartment11!D9</f>
        <v>150</v>
      </c>
      <c r="N9" s="26">
        <f>Apartment12!D9</f>
        <v>250</v>
      </c>
      <c r="O9" s="26">
        <f>Apartment13!D9</f>
        <v>150</v>
      </c>
      <c r="P9" s="26">
        <f>Apartment14!D9</f>
        <v>150</v>
      </c>
    </row>
    <row r="10" spans="1:20" ht="23.25" x14ac:dyDescent="0.35">
      <c r="A10" s="8"/>
      <c r="B10" s="25">
        <v>5</v>
      </c>
      <c r="C10" s="26">
        <f>Apartment1!D10</f>
        <v>150</v>
      </c>
      <c r="D10" s="26">
        <f>Apartment2!D10</f>
        <v>75</v>
      </c>
      <c r="E10" s="26">
        <f>Apartment3!D10</f>
        <v>150</v>
      </c>
      <c r="F10" s="26">
        <f>Apartment4!D10</f>
        <v>150</v>
      </c>
      <c r="G10" s="26">
        <f>Apartment5!D10</f>
        <v>300</v>
      </c>
      <c r="H10" s="26">
        <f>Apartment6!D10</f>
        <v>300</v>
      </c>
      <c r="I10" s="26">
        <f>Apartment7!D10</f>
        <v>300</v>
      </c>
      <c r="J10" s="26">
        <f>Apartment8!D10</f>
        <v>300</v>
      </c>
      <c r="K10" s="26">
        <f>Apartment9!D10</f>
        <v>150</v>
      </c>
      <c r="L10" s="26">
        <f>Apartment10!D10</f>
        <v>150</v>
      </c>
      <c r="M10" s="26">
        <f>Apartment11!D10</f>
        <v>150</v>
      </c>
      <c r="N10" s="26">
        <f>Apartment12!D10</f>
        <v>250</v>
      </c>
      <c r="O10" s="26">
        <f>Apartment13!D10</f>
        <v>150</v>
      </c>
      <c r="P10" s="26">
        <f>Apartment14!D10</f>
        <v>150</v>
      </c>
    </row>
    <row r="11" spans="1:20" ht="23.25" x14ac:dyDescent="0.35">
      <c r="A11" s="8"/>
      <c r="B11" s="25">
        <v>6</v>
      </c>
      <c r="C11" s="26">
        <f>Apartment1!D11</f>
        <v>150</v>
      </c>
      <c r="D11" s="26">
        <f>Apartment2!D11</f>
        <v>150</v>
      </c>
      <c r="E11" s="26">
        <f>Apartment3!D11</f>
        <v>150</v>
      </c>
      <c r="F11" s="26">
        <f>Apartment4!D11</f>
        <v>150</v>
      </c>
      <c r="G11" s="26">
        <f>Apartment5!D11</f>
        <v>0</v>
      </c>
      <c r="H11" s="26">
        <f>Apartment6!D11</f>
        <v>300</v>
      </c>
      <c r="I11" s="26">
        <f>Apartment7!D11</f>
        <v>300</v>
      </c>
      <c r="J11" s="26">
        <f>Apartment8!D11</f>
        <v>300</v>
      </c>
      <c r="K11" s="26">
        <f>Apartment9!D11</f>
        <v>150</v>
      </c>
      <c r="L11" s="26">
        <f>Apartment10!D11</f>
        <v>150</v>
      </c>
      <c r="M11" s="26">
        <f>Apartment11!D11</f>
        <v>150</v>
      </c>
      <c r="N11" s="26">
        <f>Apartment12!D11</f>
        <v>250</v>
      </c>
      <c r="O11" s="26">
        <f>Apartment13!D11</f>
        <v>0</v>
      </c>
      <c r="P11" s="26">
        <f>Apartment14!D11</f>
        <v>0</v>
      </c>
    </row>
    <row r="12" spans="1:20" ht="23.25" x14ac:dyDescent="0.35">
      <c r="A12" s="8"/>
      <c r="B12" s="25">
        <v>7</v>
      </c>
      <c r="C12" s="26">
        <f>Apartment1!D12</f>
        <v>150</v>
      </c>
      <c r="D12" s="26">
        <f>Apartment2!D12</f>
        <v>150</v>
      </c>
      <c r="E12" s="26">
        <f>Apartment3!D12</f>
        <v>150</v>
      </c>
      <c r="F12" s="26">
        <f>Apartment4!D12</f>
        <v>150</v>
      </c>
      <c r="G12" s="26">
        <f>Apartment5!D12</f>
        <v>0</v>
      </c>
      <c r="H12" s="26">
        <f>Apartment6!D12</f>
        <v>300</v>
      </c>
      <c r="I12" s="26">
        <f>Apartment7!D12</f>
        <v>300</v>
      </c>
      <c r="J12" s="26">
        <f>Apartment8!D12</f>
        <v>300</v>
      </c>
      <c r="K12" s="26">
        <f>Apartment9!D12</f>
        <v>150</v>
      </c>
      <c r="L12" s="26">
        <f>Apartment10!D12</f>
        <v>150</v>
      </c>
      <c r="M12" s="26">
        <f>Apartment11!D12</f>
        <v>150</v>
      </c>
      <c r="N12" s="26">
        <f>Apartment12!D12</f>
        <v>250</v>
      </c>
      <c r="O12" s="26">
        <f>Apartment13!D12</f>
        <v>0</v>
      </c>
      <c r="P12" s="26">
        <f>Apartment14!D12</f>
        <v>0</v>
      </c>
    </row>
    <row r="13" spans="1:20" ht="23.25" x14ac:dyDescent="0.35">
      <c r="A13" s="8"/>
      <c r="B13" s="25">
        <v>8</v>
      </c>
      <c r="C13" s="26">
        <f>Apartment1!D13</f>
        <v>0</v>
      </c>
      <c r="D13" s="26">
        <f>Apartment2!D13</f>
        <v>150</v>
      </c>
      <c r="E13" s="26">
        <f>Apartment3!D13</f>
        <v>150</v>
      </c>
      <c r="F13" s="26">
        <f>Apartment4!D13</f>
        <v>150</v>
      </c>
      <c r="G13" s="26">
        <f>Apartment5!D13</f>
        <v>0</v>
      </c>
      <c r="H13" s="26">
        <f>Apartment6!D13</f>
        <v>300</v>
      </c>
      <c r="I13" s="26">
        <f>Apartment7!D13</f>
        <v>300</v>
      </c>
      <c r="J13" s="26">
        <f>Apartment8!D13</f>
        <v>300</v>
      </c>
      <c r="K13" s="26">
        <f>Apartment9!D13</f>
        <v>150</v>
      </c>
      <c r="L13" s="26">
        <f>Apartment10!D13</f>
        <v>150</v>
      </c>
      <c r="M13" s="26">
        <f>Apartment11!D13</f>
        <v>0</v>
      </c>
      <c r="N13" s="26">
        <f>Apartment12!D13</f>
        <v>250</v>
      </c>
      <c r="O13" s="26">
        <f>Apartment13!D13</f>
        <v>0</v>
      </c>
      <c r="P13" s="26">
        <f>Apartment14!D13</f>
        <v>0</v>
      </c>
    </row>
    <row r="14" spans="1:20" ht="23.25" x14ac:dyDescent="0.35">
      <c r="A14" s="8"/>
      <c r="B14" s="25">
        <v>9</v>
      </c>
      <c r="C14" s="26">
        <f>Apartment1!D14</f>
        <v>0</v>
      </c>
      <c r="D14" s="26">
        <f>Apartment2!D14</f>
        <v>150</v>
      </c>
      <c r="E14" s="26">
        <f>Apartment3!D14</f>
        <v>150</v>
      </c>
      <c r="F14" s="26">
        <f>Apartment4!D14</f>
        <v>150</v>
      </c>
      <c r="G14" s="26">
        <f>Apartment5!D14</f>
        <v>0</v>
      </c>
      <c r="H14" s="26">
        <f>Apartment6!D14</f>
        <v>300</v>
      </c>
      <c r="I14" s="26">
        <f>Apartment7!D14</f>
        <v>300</v>
      </c>
      <c r="J14" s="26">
        <f>Apartment8!D14</f>
        <v>300</v>
      </c>
      <c r="K14" s="26">
        <f>Apartment9!D14</f>
        <v>150</v>
      </c>
      <c r="L14" s="26">
        <f>Apartment10!D14</f>
        <v>150</v>
      </c>
      <c r="M14" s="26">
        <f>Apartment11!D14</f>
        <v>0</v>
      </c>
      <c r="N14" s="26">
        <f>Apartment12!D14</f>
        <v>0</v>
      </c>
      <c r="O14" s="26">
        <f>Apartment13!D14</f>
        <v>0</v>
      </c>
      <c r="P14" s="26">
        <f>Apartment14!D14</f>
        <v>0</v>
      </c>
    </row>
    <row r="15" spans="1:20" ht="23.25" x14ac:dyDescent="0.35">
      <c r="A15" s="8"/>
      <c r="B15" s="25">
        <v>10</v>
      </c>
      <c r="C15" s="26">
        <f>Apartment1!D15</f>
        <v>0</v>
      </c>
      <c r="D15" s="26">
        <f>Apartment2!D15</f>
        <v>150</v>
      </c>
      <c r="E15" s="26">
        <f>Apartment3!D15</f>
        <v>0</v>
      </c>
      <c r="F15" s="26">
        <f>Apartment4!D15</f>
        <v>0</v>
      </c>
      <c r="G15" s="26">
        <f>Apartment5!D15</f>
        <v>0</v>
      </c>
      <c r="H15" s="26">
        <f>Apartment6!D15</f>
        <v>300</v>
      </c>
      <c r="I15" s="26">
        <f>Apartment7!D15</f>
        <v>0</v>
      </c>
      <c r="J15" s="26">
        <f>Apartment8!D15</f>
        <v>0</v>
      </c>
      <c r="K15" s="26">
        <f>Apartment9!D15</f>
        <v>0</v>
      </c>
      <c r="L15" s="26">
        <f>Apartment10!D15</f>
        <v>150</v>
      </c>
      <c r="M15" s="26">
        <f>Apartment11!D15</f>
        <v>0</v>
      </c>
      <c r="N15" s="26">
        <f>Apartment12!D15</f>
        <v>0</v>
      </c>
      <c r="O15" s="26">
        <f>Apartment13!D15</f>
        <v>0</v>
      </c>
      <c r="P15" s="26">
        <f>Apartment14!D15</f>
        <v>0</v>
      </c>
    </row>
    <row r="16" spans="1:20" ht="23.25" x14ac:dyDescent="0.35">
      <c r="A16" s="8"/>
      <c r="B16" s="25">
        <v>11</v>
      </c>
      <c r="C16" s="26">
        <f>Apartment1!D16</f>
        <v>0</v>
      </c>
      <c r="D16" s="26">
        <f>Apartment2!D16</f>
        <v>150</v>
      </c>
      <c r="E16" s="26">
        <f>Apartment3!D16</f>
        <v>0</v>
      </c>
      <c r="F16" s="26">
        <f>Apartment4!D16</f>
        <v>0</v>
      </c>
      <c r="G16" s="26">
        <f>Apartment5!D16</f>
        <v>0</v>
      </c>
      <c r="H16" s="26">
        <f>Apartment6!D16</f>
        <v>300</v>
      </c>
      <c r="I16" s="26">
        <f>Apartment7!D16</f>
        <v>0</v>
      </c>
      <c r="J16" s="26">
        <f>Apartment8!D16</f>
        <v>0</v>
      </c>
      <c r="K16" s="26">
        <f>Apartment9!D16</f>
        <v>0</v>
      </c>
      <c r="L16" s="26">
        <f>Apartment10!D16</f>
        <v>150</v>
      </c>
      <c r="M16" s="26">
        <f>Apartment11!D16</f>
        <v>0</v>
      </c>
      <c r="N16" s="26">
        <f>Apartment12!D16</f>
        <v>0</v>
      </c>
      <c r="O16" s="26">
        <f>Apartment13!D16</f>
        <v>0</v>
      </c>
      <c r="P16" s="26">
        <f>Apartment14!D16</f>
        <v>0</v>
      </c>
    </row>
    <row r="17" spans="1:16" ht="23.25" x14ac:dyDescent="0.35">
      <c r="A17" s="8"/>
      <c r="B17" s="25">
        <v>12</v>
      </c>
      <c r="C17" s="26">
        <f>Apartment1!D17</f>
        <v>0</v>
      </c>
      <c r="D17" s="26">
        <f>Apartment2!D17</f>
        <v>150</v>
      </c>
      <c r="E17" s="26">
        <f>Apartment3!D17</f>
        <v>0</v>
      </c>
      <c r="F17" s="26">
        <f>Apartment4!D17</f>
        <v>0</v>
      </c>
      <c r="G17" s="26">
        <f>Apartment5!D17</f>
        <v>0</v>
      </c>
      <c r="H17" s="26">
        <f>Apartment6!D17</f>
        <v>300</v>
      </c>
      <c r="I17" s="26">
        <f>Apartment7!D17</f>
        <v>0</v>
      </c>
      <c r="J17" s="26">
        <f>Apartment8!D17</f>
        <v>0</v>
      </c>
      <c r="K17" s="26">
        <f>Apartment9!D17</f>
        <v>0</v>
      </c>
      <c r="L17" s="26">
        <f>Apartment10!D17</f>
        <v>150</v>
      </c>
      <c r="M17" s="26">
        <f>Apartment11!D17</f>
        <v>0</v>
      </c>
      <c r="N17" s="26">
        <f>Apartment12!D17</f>
        <v>0</v>
      </c>
      <c r="O17" s="26">
        <f>Apartment13!D17</f>
        <v>0</v>
      </c>
      <c r="P17" s="26">
        <f>Apartment14!D17</f>
        <v>0</v>
      </c>
    </row>
    <row r="18" spans="1:16" ht="18" x14ac:dyDescent="0.25">
      <c r="A18" s="8"/>
      <c r="B18" s="22"/>
      <c r="C18" s="8"/>
      <c r="D18" s="8"/>
      <c r="E18" s="8"/>
      <c r="F18" s="2"/>
      <c r="G18" s="2"/>
      <c r="H18" s="2"/>
      <c r="I18" s="2"/>
      <c r="J18" s="2"/>
      <c r="K18" s="2"/>
    </row>
    <row r="19" spans="1:16" ht="18" x14ac:dyDescent="0.25">
      <c r="A19" s="8"/>
      <c r="B19" s="22"/>
      <c r="C19" s="8"/>
      <c r="D19" s="8"/>
      <c r="E19" s="8"/>
      <c r="F19" s="2"/>
      <c r="G19" s="2"/>
      <c r="H19" s="2"/>
      <c r="I19" s="2"/>
      <c r="J19" s="2"/>
      <c r="K19" s="2"/>
    </row>
    <row r="20" spans="1:16" ht="18" x14ac:dyDescent="0.25">
      <c r="A20" s="8"/>
      <c r="B20" s="22"/>
      <c r="C20" s="8"/>
      <c r="D20" s="8"/>
      <c r="E20" s="8"/>
      <c r="F20" s="2"/>
      <c r="G20" s="2"/>
      <c r="H20" s="2"/>
      <c r="I20" s="2"/>
      <c r="J20" s="2"/>
      <c r="K20" s="2"/>
    </row>
    <row r="21" spans="1:16" ht="18" x14ac:dyDescent="0.25">
      <c r="A21" s="8"/>
      <c r="B21" s="22"/>
      <c r="C21" s="8"/>
      <c r="D21" s="8"/>
      <c r="E21" s="8"/>
      <c r="F21" s="2"/>
      <c r="G21" s="2"/>
      <c r="H21" s="2"/>
      <c r="I21" s="2"/>
      <c r="J21" s="2"/>
      <c r="K21" s="2"/>
    </row>
    <row r="22" spans="1:16" ht="18" x14ac:dyDescent="0.25">
      <c r="A22" s="8"/>
      <c r="B22" s="22"/>
      <c r="C22" s="8"/>
      <c r="D22" s="8"/>
      <c r="E22" s="8"/>
      <c r="F22" s="2"/>
      <c r="G22" s="2"/>
      <c r="H22" s="2"/>
      <c r="I22" s="2"/>
      <c r="J22" s="2"/>
      <c r="K22" s="2"/>
    </row>
    <row r="23" spans="1:16" ht="18" x14ac:dyDescent="0.25">
      <c r="A23" s="8"/>
      <c r="B23" s="22"/>
      <c r="C23" s="8"/>
      <c r="D23" s="8"/>
      <c r="E23" s="8"/>
      <c r="F23" s="2"/>
      <c r="G23" s="2"/>
      <c r="H23" s="2"/>
      <c r="I23" s="2"/>
      <c r="J23" s="2"/>
      <c r="K23" s="2"/>
    </row>
    <row r="24" spans="1:16" ht="18" x14ac:dyDescent="0.25">
      <c r="A24" s="8"/>
      <c r="B24" s="22"/>
      <c r="C24" s="8"/>
      <c r="D24" s="8"/>
      <c r="E24" s="8"/>
      <c r="F24" s="2"/>
      <c r="G24" s="2"/>
      <c r="H24" s="2"/>
      <c r="I24" s="2"/>
      <c r="J24" s="2"/>
      <c r="K24" s="2"/>
    </row>
    <row r="25" spans="1:16" ht="18" x14ac:dyDescent="0.25">
      <c r="A25" s="8"/>
      <c r="B25" s="22"/>
      <c r="C25" s="8"/>
      <c r="D25" s="8"/>
      <c r="E25" s="8"/>
      <c r="F25" s="2"/>
      <c r="G25" s="2"/>
      <c r="H25" s="2"/>
      <c r="I25" s="2"/>
      <c r="J25" s="2"/>
      <c r="K25" s="2"/>
    </row>
    <row r="26" spans="1:16" ht="18" x14ac:dyDescent="0.25">
      <c r="A26" s="8"/>
      <c r="B26" s="22"/>
      <c r="C26" s="8"/>
      <c r="D26" s="8"/>
      <c r="E26" s="8"/>
      <c r="F26" s="2"/>
      <c r="G26" s="2"/>
      <c r="H26" s="2"/>
      <c r="I26" s="2"/>
      <c r="J26" s="2"/>
      <c r="K26" s="2"/>
    </row>
    <row r="27" spans="1:16" ht="18" x14ac:dyDescent="0.25">
      <c r="A27" s="8"/>
      <c r="B27" s="22"/>
      <c r="C27" s="8"/>
      <c r="D27" s="8"/>
      <c r="E27" s="8"/>
      <c r="F27" s="2"/>
      <c r="G27" s="2"/>
      <c r="H27" s="2"/>
      <c r="I27" s="2"/>
      <c r="J27" s="2"/>
      <c r="K27" s="2"/>
    </row>
    <row r="28" spans="1:16" ht="18" x14ac:dyDescent="0.25">
      <c r="A28" s="8"/>
      <c r="B28" s="22"/>
      <c r="C28" s="8"/>
      <c r="D28" s="8"/>
      <c r="E28" s="8"/>
      <c r="F28" s="2"/>
      <c r="G28" s="2"/>
      <c r="H28" s="2"/>
      <c r="I28" s="2"/>
      <c r="J28" s="2"/>
      <c r="K28" s="2"/>
    </row>
    <row r="29" spans="1:16" ht="18" x14ac:dyDescent="0.25">
      <c r="A29" s="8"/>
      <c r="B29" s="22"/>
      <c r="C29" s="8"/>
      <c r="D29" s="8"/>
      <c r="E29" s="8"/>
      <c r="F29" s="2"/>
      <c r="G29" s="2"/>
      <c r="H29" s="2"/>
      <c r="I29" s="2"/>
      <c r="J29" s="2"/>
      <c r="K29" s="2"/>
    </row>
    <row r="30" spans="1:16" ht="18" x14ac:dyDescent="0.25">
      <c r="A30" s="8"/>
      <c r="B30" s="22"/>
      <c r="C30" s="8"/>
      <c r="D30" s="8"/>
      <c r="E30" s="8"/>
      <c r="F30" s="2"/>
      <c r="G30" s="2"/>
      <c r="H30" s="2"/>
      <c r="I30" s="2"/>
      <c r="J30" s="2"/>
      <c r="K30" s="2"/>
    </row>
    <row r="31" spans="1:16" ht="18" x14ac:dyDescent="0.25">
      <c r="A31" s="8"/>
      <c r="B31" s="22"/>
      <c r="C31" s="8"/>
      <c r="D31" s="8"/>
      <c r="E31" s="8"/>
      <c r="F31" s="2"/>
      <c r="G31" s="2"/>
      <c r="H31" s="2"/>
      <c r="I31" s="2"/>
      <c r="J31" s="2"/>
      <c r="K31" s="2"/>
    </row>
    <row r="32" spans="1:16" ht="18" x14ac:dyDescent="0.25">
      <c r="A32" s="8"/>
      <c r="B32" s="22"/>
      <c r="C32" s="8"/>
      <c r="D32" s="8"/>
      <c r="E32" s="8"/>
      <c r="F32" s="2"/>
      <c r="G32" s="2"/>
      <c r="H32" s="2"/>
      <c r="I32" s="2"/>
      <c r="J32" s="2"/>
      <c r="K32" s="2"/>
    </row>
    <row r="33" spans="1:11" ht="18" x14ac:dyDescent="0.25">
      <c r="A33" s="8"/>
      <c r="B33" s="22"/>
      <c r="C33" s="8"/>
      <c r="D33" s="8"/>
      <c r="E33" s="8"/>
      <c r="F33" s="2"/>
      <c r="G33" s="2"/>
      <c r="H33" s="2"/>
      <c r="I33" s="2"/>
      <c r="J33" s="2"/>
      <c r="K33" s="2"/>
    </row>
    <row r="34" spans="1:11" ht="18" x14ac:dyDescent="0.25">
      <c r="A34" s="8"/>
      <c r="B34" s="22"/>
      <c r="C34" s="8"/>
      <c r="D34" s="8"/>
      <c r="E34" s="8"/>
      <c r="F34" s="2"/>
      <c r="G34" s="2"/>
      <c r="H34" s="2"/>
      <c r="I34" s="2"/>
      <c r="J34" s="2"/>
      <c r="K34" s="2"/>
    </row>
  </sheetData>
  <mergeCells count="2">
    <mergeCell ref="C2:O2"/>
    <mergeCell ref="C1:O1"/>
  </mergeCells>
  <pageMargins left="0.7" right="0.7" top="0.75" bottom="0.75" header="0.3" footer="0.3"/>
  <pageSetup paperSize="9"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33"/>
  <sheetViews>
    <sheetView rightToLeft="1" topLeftCell="A2" workbookViewId="0">
      <selection activeCell="C10" sqref="C10"/>
    </sheetView>
  </sheetViews>
  <sheetFormatPr defaultRowHeight="14.25" x14ac:dyDescent="0.2"/>
  <cols>
    <col min="1" max="2" width="4.375" style="3" customWidth="1"/>
    <col min="3" max="3" width="10.375" style="66" customWidth="1"/>
    <col min="4" max="4" width="9.75" style="66" customWidth="1"/>
    <col min="5" max="5" width="9.125" style="93"/>
    <col min="6" max="6" width="16.75" bestFit="1" customWidth="1"/>
    <col min="7" max="7" width="10.25" customWidth="1"/>
    <col min="8" max="8" width="10.625" bestFit="1" customWidth="1"/>
  </cols>
  <sheetData>
    <row r="2" spans="1:14" ht="26.25" x14ac:dyDescent="0.4">
      <c r="C2" s="99" t="s">
        <v>47</v>
      </c>
      <c r="D2" s="99"/>
      <c r="E2" s="99"/>
      <c r="F2" s="99"/>
      <c r="G2" s="99"/>
      <c r="H2" s="99"/>
      <c r="I2" s="99"/>
      <c r="J2" s="99"/>
      <c r="K2" s="99"/>
      <c r="L2" s="99"/>
      <c r="M2" s="99"/>
      <c r="N2" s="99"/>
    </row>
    <row r="3" spans="1:14" ht="18" x14ac:dyDescent="0.25">
      <c r="C3" s="83"/>
      <c r="G3" s="103" t="s">
        <v>94</v>
      </c>
      <c r="H3" s="103"/>
      <c r="I3" s="103"/>
    </row>
    <row r="4" spans="1:14" ht="36" x14ac:dyDescent="0.2">
      <c r="A4" s="12" t="s">
        <v>7</v>
      </c>
      <c r="B4" s="12" t="s">
        <v>33</v>
      </c>
      <c r="C4" s="14" t="s">
        <v>30</v>
      </c>
      <c r="D4" s="15" t="s">
        <v>31</v>
      </c>
      <c r="E4" s="17" t="s">
        <v>32</v>
      </c>
      <c r="F4" s="16" t="s">
        <v>49</v>
      </c>
      <c r="G4" s="14" t="s">
        <v>30</v>
      </c>
      <c r="H4" s="15" t="s">
        <v>31</v>
      </c>
      <c r="I4" s="17" t="s">
        <v>32</v>
      </c>
      <c r="J4" s="16"/>
    </row>
    <row r="5" spans="1:14" ht="18" x14ac:dyDescent="0.25">
      <c r="A5" s="8">
        <v>1</v>
      </c>
      <c r="B5" s="20">
        <v>1</v>
      </c>
      <c r="C5" s="91">
        <f>Apartment1!D4</f>
        <v>1050</v>
      </c>
      <c r="D5" s="92"/>
      <c r="E5" s="94">
        <f>D5-C5</f>
        <v>-1050</v>
      </c>
      <c r="F5" s="2" t="s">
        <v>50</v>
      </c>
      <c r="G5" s="91"/>
      <c r="H5" s="92"/>
      <c r="I5" s="94">
        <f>H5-G5</f>
        <v>0</v>
      </c>
      <c r="J5" s="2"/>
    </row>
    <row r="6" spans="1:14" ht="18" x14ac:dyDescent="0.25">
      <c r="A6" s="8">
        <v>2</v>
      </c>
      <c r="B6" s="20">
        <v>2</v>
      </c>
      <c r="C6" s="91">
        <f>Apartment2!D4</f>
        <v>1425</v>
      </c>
      <c r="D6" s="92"/>
      <c r="E6" s="94">
        <f t="shared" ref="E6:E18" si="0">D6-C6</f>
        <v>-1425</v>
      </c>
      <c r="F6" s="2" t="s">
        <v>51</v>
      </c>
      <c r="G6" s="91"/>
      <c r="H6" s="92"/>
      <c r="I6" s="94">
        <f t="shared" ref="I6:I18" si="1">H6-G6</f>
        <v>0</v>
      </c>
      <c r="J6" s="2"/>
    </row>
    <row r="7" spans="1:14" ht="18" x14ac:dyDescent="0.25">
      <c r="A7" s="8">
        <v>3</v>
      </c>
      <c r="B7" s="20">
        <v>3</v>
      </c>
      <c r="C7" s="91">
        <f>Apartment3!D4</f>
        <v>1350</v>
      </c>
      <c r="D7" s="92"/>
      <c r="E7" s="94">
        <f t="shared" si="0"/>
        <v>-1350</v>
      </c>
      <c r="F7" s="2" t="s">
        <v>48</v>
      </c>
      <c r="G7" s="91"/>
      <c r="H7" s="92"/>
      <c r="I7" s="94">
        <f t="shared" si="1"/>
        <v>0</v>
      </c>
      <c r="J7" s="2"/>
    </row>
    <row r="8" spans="1:14" ht="18" x14ac:dyDescent="0.25">
      <c r="A8" s="8">
        <v>4</v>
      </c>
      <c r="B8" s="20">
        <v>4</v>
      </c>
      <c r="C8" s="91">
        <f>Apartment4!D4</f>
        <v>1350</v>
      </c>
      <c r="D8" s="92"/>
      <c r="E8" s="94">
        <f t="shared" si="0"/>
        <v>-1350</v>
      </c>
      <c r="F8" s="2" t="s">
        <v>48</v>
      </c>
      <c r="G8" s="91"/>
      <c r="H8" s="92"/>
      <c r="I8" s="94">
        <f t="shared" si="1"/>
        <v>0</v>
      </c>
      <c r="J8" s="2"/>
    </row>
    <row r="9" spans="1:14" ht="18" x14ac:dyDescent="0.25">
      <c r="A9" s="8">
        <v>5</v>
      </c>
      <c r="B9" s="20">
        <v>5</v>
      </c>
      <c r="C9" s="91">
        <f>Apartment5!D4</f>
        <v>1500</v>
      </c>
      <c r="D9" s="92"/>
      <c r="E9" s="94">
        <f t="shared" si="0"/>
        <v>-1500</v>
      </c>
      <c r="F9" s="2" t="s">
        <v>119</v>
      </c>
      <c r="G9" s="91"/>
      <c r="H9" s="92"/>
      <c r="I9" s="94">
        <f t="shared" si="1"/>
        <v>0</v>
      </c>
      <c r="J9" s="2"/>
    </row>
    <row r="10" spans="1:14" ht="18" x14ac:dyDescent="0.25">
      <c r="A10" s="8">
        <v>6</v>
      </c>
      <c r="B10" s="20">
        <v>6</v>
      </c>
      <c r="C10" s="91">
        <v>0</v>
      </c>
      <c r="D10" s="92"/>
      <c r="E10" s="94">
        <f t="shared" si="0"/>
        <v>0</v>
      </c>
      <c r="F10" s="2" t="s">
        <v>52</v>
      </c>
      <c r="G10" s="91"/>
      <c r="H10" s="92"/>
      <c r="I10" s="94">
        <f t="shared" si="1"/>
        <v>0</v>
      </c>
      <c r="J10" s="2"/>
    </row>
    <row r="11" spans="1:14" ht="18" x14ac:dyDescent="0.25">
      <c r="A11" s="8">
        <v>7</v>
      </c>
      <c r="B11" s="20">
        <v>7</v>
      </c>
      <c r="C11" s="91">
        <f>Apartment7!D4</f>
        <v>2700</v>
      </c>
      <c r="D11" s="92"/>
      <c r="E11" s="94">
        <f t="shared" si="0"/>
        <v>-2700</v>
      </c>
      <c r="F11" s="2" t="s">
        <v>48</v>
      </c>
      <c r="G11" s="91"/>
      <c r="H11" s="92"/>
      <c r="I11" s="94">
        <f t="shared" si="1"/>
        <v>0</v>
      </c>
      <c r="J11" s="2"/>
    </row>
    <row r="12" spans="1:14" ht="18" x14ac:dyDescent="0.25">
      <c r="A12" s="8">
        <v>8</v>
      </c>
      <c r="B12" s="20">
        <v>8</v>
      </c>
      <c r="C12" s="91">
        <f>Apartment8!D4</f>
        <v>2700</v>
      </c>
      <c r="D12" s="92"/>
      <c r="E12" s="94">
        <f t="shared" si="0"/>
        <v>-2700</v>
      </c>
      <c r="F12" s="2" t="s">
        <v>120</v>
      </c>
      <c r="G12" s="91"/>
      <c r="H12" s="92"/>
      <c r="I12" s="94">
        <f t="shared" si="1"/>
        <v>0</v>
      </c>
      <c r="J12" s="2"/>
    </row>
    <row r="13" spans="1:14" ht="18" x14ac:dyDescent="0.25">
      <c r="A13" s="8">
        <v>9</v>
      </c>
      <c r="B13" s="20">
        <v>9</v>
      </c>
      <c r="C13" s="91">
        <f>Apartment9!D4</f>
        <v>1350</v>
      </c>
      <c r="D13" s="92"/>
      <c r="E13" s="94">
        <f t="shared" si="0"/>
        <v>-1350</v>
      </c>
      <c r="F13" s="2" t="s">
        <v>53</v>
      </c>
      <c r="G13" s="91"/>
      <c r="H13" s="92"/>
      <c r="I13" s="94">
        <f t="shared" si="1"/>
        <v>0</v>
      </c>
      <c r="J13" s="2"/>
    </row>
    <row r="14" spans="1:14" ht="18" x14ac:dyDescent="0.25">
      <c r="A14" s="8">
        <v>10</v>
      </c>
      <c r="B14" s="20">
        <v>10</v>
      </c>
      <c r="C14" s="91"/>
      <c r="D14" s="92"/>
      <c r="E14" s="94">
        <f t="shared" si="0"/>
        <v>0</v>
      </c>
      <c r="F14" s="2" t="s">
        <v>52</v>
      </c>
      <c r="G14" s="91"/>
      <c r="H14" s="92"/>
      <c r="I14" s="94">
        <f t="shared" si="1"/>
        <v>0</v>
      </c>
      <c r="J14" s="2"/>
    </row>
    <row r="15" spans="1:14" ht="18" x14ac:dyDescent="0.25">
      <c r="A15" s="8">
        <v>11</v>
      </c>
      <c r="B15" s="20">
        <v>11</v>
      </c>
      <c r="C15" s="91">
        <f>Apartment11!D4</f>
        <v>1050</v>
      </c>
      <c r="D15" s="92"/>
      <c r="E15" s="94">
        <f t="shared" si="0"/>
        <v>-1050</v>
      </c>
      <c r="F15" s="2" t="s">
        <v>54</v>
      </c>
      <c r="G15" s="91"/>
      <c r="H15" s="92"/>
      <c r="I15" s="94">
        <f t="shared" si="1"/>
        <v>0</v>
      </c>
      <c r="J15" s="2"/>
    </row>
    <row r="16" spans="1:14" ht="18" x14ac:dyDescent="0.25">
      <c r="A16" s="8">
        <v>12</v>
      </c>
      <c r="B16" s="20">
        <v>12</v>
      </c>
      <c r="C16" s="91">
        <v>0</v>
      </c>
      <c r="D16" s="92"/>
      <c r="E16" s="94">
        <f t="shared" si="0"/>
        <v>0</v>
      </c>
      <c r="F16" s="2" t="s">
        <v>55</v>
      </c>
      <c r="G16" s="91"/>
      <c r="H16" s="92"/>
      <c r="I16" s="94">
        <f t="shared" si="1"/>
        <v>0</v>
      </c>
      <c r="J16" s="2"/>
    </row>
    <row r="17" spans="1:10" ht="18" x14ac:dyDescent="0.25">
      <c r="A17" s="8">
        <v>13</v>
      </c>
      <c r="B17" s="20">
        <v>13</v>
      </c>
      <c r="C17" s="91">
        <f>Apartment13!D4</f>
        <v>675</v>
      </c>
      <c r="D17" s="92"/>
      <c r="E17" s="94">
        <f t="shared" si="0"/>
        <v>-675</v>
      </c>
      <c r="F17" s="2" t="s">
        <v>56</v>
      </c>
      <c r="G17" s="91"/>
      <c r="H17" s="92"/>
      <c r="I17" s="94">
        <f t="shared" si="1"/>
        <v>0</v>
      </c>
      <c r="J17" s="2"/>
    </row>
    <row r="18" spans="1:10" ht="18" x14ac:dyDescent="0.25">
      <c r="A18" s="8">
        <v>14</v>
      </c>
      <c r="B18" s="20">
        <v>14</v>
      </c>
      <c r="C18" s="91">
        <f>Apartment14!D4</f>
        <v>675</v>
      </c>
      <c r="D18" s="92"/>
      <c r="E18" s="94">
        <f t="shared" si="0"/>
        <v>-675</v>
      </c>
      <c r="F18" s="2" t="s">
        <v>57</v>
      </c>
      <c r="G18" s="91"/>
      <c r="H18" s="92"/>
      <c r="I18" s="94">
        <f t="shared" si="1"/>
        <v>0</v>
      </c>
      <c r="J18" s="2"/>
    </row>
    <row r="19" spans="1:10" ht="18" x14ac:dyDescent="0.25">
      <c r="A19" s="8"/>
      <c r="B19" s="8"/>
      <c r="C19" s="33"/>
      <c r="D19" s="33"/>
      <c r="E19" s="95"/>
      <c r="F19" s="2"/>
      <c r="G19" s="2"/>
      <c r="H19" s="2"/>
      <c r="I19" s="2"/>
      <c r="J19" s="2"/>
    </row>
    <row r="20" spans="1:10" ht="18" x14ac:dyDescent="0.25">
      <c r="A20" s="8"/>
      <c r="B20" s="8"/>
      <c r="C20" s="33"/>
      <c r="D20" s="33"/>
      <c r="E20" s="95"/>
      <c r="F20" s="2"/>
      <c r="G20" s="2"/>
      <c r="H20" s="2"/>
      <c r="I20" s="2"/>
      <c r="J20" s="2"/>
    </row>
    <row r="21" spans="1:10" ht="18" x14ac:dyDescent="0.25">
      <c r="A21" s="8"/>
      <c r="B21" s="8"/>
      <c r="C21" s="33"/>
      <c r="D21" s="33"/>
      <c r="E21" s="95"/>
      <c r="F21" s="2"/>
      <c r="G21" s="2"/>
      <c r="H21" s="2"/>
      <c r="I21" s="2"/>
      <c r="J21" s="2"/>
    </row>
    <row r="22" spans="1:10" ht="18" x14ac:dyDescent="0.25">
      <c r="A22" s="8"/>
      <c r="B22" s="8"/>
      <c r="C22" s="33"/>
      <c r="D22" s="33"/>
      <c r="E22" s="95"/>
      <c r="F22" s="2"/>
      <c r="G22" s="2"/>
      <c r="H22" s="2"/>
      <c r="I22" s="2"/>
      <c r="J22" s="2"/>
    </row>
    <row r="23" spans="1:10" ht="18" x14ac:dyDescent="0.25">
      <c r="A23" s="8"/>
      <c r="B23" s="8"/>
      <c r="C23" s="33"/>
      <c r="D23" s="33"/>
      <c r="E23" s="95"/>
      <c r="F23" s="2"/>
      <c r="G23" s="2"/>
      <c r="H23" s="2"/>
      <c r="I23" s="2"/>
      <c r="J23" s="2"/>
    </row>
    <row r="24" spans="1:10" ht="18" x14ac:dyDescent="0.25">
      <c r="A24" s="8"/>
      <c r="B24" s="8"/>
      <c r="C24" s="33"/>
      <c r="D24" s="33"/>
      <c r="E24" s="95"/>
      <c r="F24" s="2"/>
      <c r="G24" s="2"/>
      <c r="H24" s="2"/>
      <c r="I24" s="2"/>
      <c r="J24" s="2"/>
    </row>
    <row r="25" spans="1:10" ht="18" x14ac:dyDescent="0.25">
      <c r="A25" s="8"/>
      <c r="B25" s="8"/>
      <c r="C25" s="33"/>
      <c r="D25" s="33"/>
      <c r="E25" s="95"/>
      <c r="F25" s="2"/>
      <c r="G25" s="2"/>
      <c r="H25" s="2"/>
      <c r="I25" s="2"/>
      <c r="J25" s="2"/>
    </row>
    <row r="26" spans="1:10" ht="18" x14ac:dyDescent="0.25">
      <c r="A26" s="8"/>
      <c r="B26" s="8"/>
      <c r="C26" s="33"/>
      <c r="D26" s="33"/>
      <c r="E26" s="95"/>
      <c r="F26" s="2"/>
      <c r="G26" s="2"/>
      <c r="H26" s="2"/>
      <c r="I26" s="2"/>
      <c r="J26" s="2"/>
    </row>
    <row r="27" spans="1:10" ht="18" x14ac:dyDescent="0.25">
      <c r="A27" s="8"/>
      <c r="B27" s="8"/>
      <c r="C27" s="33"/>
      <c r="D27" s="33"/>
      <c r="E27" s="95"/>
      <c r="F27" s="2"/>
      <c r="G27" s="2"/>
      <c r="H27" s="2"/>
      <c r="I27" s="2"/>
      <c r="J27" s="2"/>
    </row>
    <row r="28" spans="1:10" ht="18" x14ac:dyDescent="0.25">
      <c r="A28" s="8"/>
      <c r="B28" s="8"/>
      <c r="C28" s="33"/>
      <c r="D28" s="33"/>
      <c r="E28" s="95"/>
      <c r="F28" s="2"/>
      <c r="G28" s="2"/>
      <c r="H28" s="2"/>
      <c r="I28" s="2"/>
      <c r="J28" s="2"/>
    </row>
    <row r="29" spans="1:10" ht="18" x14ac:dyDescent="0.25">
      <c r="A29" s="8"/>
      <c r="B29" s="8"/>
      <c r="C29" s="33"/>
      <c r="D29" s="33"/>
      <c r="E29" s="95"/>
      <c r="F29" s="2"/>
      <c r="G29" s="2"/>
      <c r="H29" s="2"/>
      <c r="I29" s="2"/>
      <c r="J29" s="2"/>
    </row>
    <row r="30" spans="1:10" ht="18" x14ac:dyDescent="0.25">
      <c r="A30" s="8"/>
      <c r="B30" s="8"/>
      <c r="C30" s="33"/>
      <c r="D30" s="33"/>
      <c r="E30" s="95"/>
      <c r="F30" s="2"/>
      <c r="G30" s="2"/>
      <c r="H30" s="2"/>
      <c r="I30" s="2"/>
      <c r="J30" s="2"/>
    </row>
    <row r="31" spans="1:10" ht="18" x14ac:dyDescent="0.25">
      <c r="A31" s="8"/>
      <c r="B31" s="8"/>
      <c r="C31" s="33"/>
      <c r="D31" s="33"/>
      <c r="E31" s="95"/>
      <c r="F31" s="2"/>
      <c r="G31" s="2"/>
      <c r="H31" s="2"/>
      <c r="I31" s="2"/>
      <c r="J31" s="2"/>
    </row>
    <row r="32" spans="1:10" ht="18" x14ac:dyDescent="0.25">
      <c r="A32" s="8"/>
      <c r="B32" s="8"/>
      <c r="C32" s="33"/>
      <c r="D32" s="33"/>
      <c r="E32" s="95"/>
      <c r="F32" s="2"/>
      <c r="G32" s="2"/>
      <c r="H32" s="2"/>
      <c r="I32" s="2"/>
      <c r="J32" s="2"/>
    </row>
    <row r="33" spans="1:10" ht="18" x14ac:dyDescent="0.25">
      <c r="A33" s="8"/>
      <c r="B33" s="8"/>
      <c r="C33" s="33"/>
      <c r="D33" s="33"/>
      <c r="E33" s="95"/>
      <c r="F33" s="2"/>
      <c r="G33" s="2"/>
      <c r="H33" s="2"/>
      <c r="I33" s="2"/>
      <c r="J33" s="2"/>
    </row>
  </sheetData>
  <mergeCells count="2">
    <mergeCell ref="C2:N2"/>
    <mergeCell ref="G3:I3"/>
  </mergeCells>
  <pageMargins left="0.7" right="0.7" top="0.75" bottom="0.75" header="0.3" footer="0.3"/>
  <pageSetup paperSize="9" orientation="landscape"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34"/>
  <sheetViews>
    <sheetView rightToLeft="1" topLeftCell="A4" workbookViewId="0">
      <selection activeCell="D11" sqref="D11"/>
    </sheetView>
  </sheetViews>
  <sheetFormatPr defaultRowHeight="14.25" x14ac:dyDescent="0.2"/>
  <cols>
    <col min="1" max="1" width="4.375" style="3" customWidth="1"/>
    <col min="2" max="2" width="4.125" style="3" bestFit="1" customWidth="1"/>
    <col min="3" max="3" width="15.125" style="64" customWidth="1"/>
    <col min="4" max="4" width="8.25" style="3" bestFit="1" customWidth="1"/>
    <col min="5" max="5" width="24.75" style="3" bestFit="1" customWidth="1"/>
    <col min="6" max="6" width="9.75" style="3" customWidth="1"/>
    <col min="7" max="7" width="9" style="3"/>
  </cols>
  <sheetData>
    <row r="2" spans="1:17" ht="26.25" x14ac:dyDescent="0.4">
      <c r="C2" s="99" t="s">
        <v>21</v>
      </c>
      <c r="D2" s="99"/>
      <c r="E2" s="99"/>
      <c r="F2" s="99"/>
      <c r="G2" s="99"/>
      <c r="H2" s="99"/>
      <c r="I2" s="99"/>
      <c r="J2" s="99"/>
      <c r="K2" s="99"/>
      <c r="L2" s="99"/>
      <c r="M2" s="99"/>
      <c r="N2" s="99"/>
      <c r="O2" s="99"/>
      <c r="P2" s="99"/>
      <c r="Q2" s="99"/>
    </row>
    <row r="3" spans="1:17" ht="56.25" x14ac:dyDescent="0.4">
      <c r="C3" s="1"/>
      <c r="D3" s="18" t="s">
        <v>8</v>
      </c>
      <c r="E3" s="18"/>
      <c r="F3" s="18" t="s">
        <v>18</v>
      </c>
      <c r="G3" s="1"/>
      <c r="H3" s="1"/>
      <c r="I3" s="1"/>
      <c r="J3" s="1"/>
      <c r="K3" s="1"/>
      <c r="L3" s="1"/>
      <c r="M3" s="1"/>
      <c r="N3" s="1"/>
      <c r="O3" s="1"/>
      <c r="P3" s="1"/>
      <c r="Q3" s="1"/>
    </row>
    <row r="4" spans="1:17" ht="18" x14ac:dyDescent="0.25">
      <c r="C4" s="62"/>
      <c r="D4" s="11">
        <f>SUM(D6:D2001)</f>
        <v>675</v>
      </c>
      <c r="E4" s="11"/>
      <c r="F4" s="11">
        <f>SUM(F6:F2001)</f>
        <v>1725</v>
      </c>
    </row>
    <row r="5" spans="1:17" ht="36" x14ac:dyDescent="0.2">
      <c r="A5" s="4" t="s">
        <v>7</v>
      </c>
      <c r="B5" s="4" t="s">
        <v>17</v>
      </c>
      <c r="C5" s="6" t="s">
        <v>1</v>
      </c>
      <c r="D5" s="4" t="s">
        <v>2</v>
      </c>
      <c r="E5" s="4" t="s">
        <v>4</v>
      </c>
      <c r="F5" s="4" t="s">
        <v>19</v>
      </c>
      <c r="G5" s="4" t="s">
        <v>4</v>
      </c>
      <c r="H5" s="5"/>
      <c r="I5" s="5"/>
      <c r="J5" s="5"/>
      <c r="K5" s="5"/>
      <c r="L5" s="5"/>
      <c r="M5" s="5"/>
    </row>
    <row r="6" spans="1:17" ht="18" x14ac:dyDescent="0.25">
      <c r="A6" s="8">
        <v>1</v>
      </c>
      <c r="B6" s="8">
        <v>1</v>
      </c>
      <c r="C6" s="63">
        <v>46134</v>
      </c>
      <c r="D6" s="33">
        <v>125</v>
      </c>
      <c r="E6" s="8"/>
      <c r="F6" s="8">
        <v>125</v>
      </c>
      <c r="G6" s="8" t="s">
        <v>237</v>
      </c>
      <c r="H6" s="2"/>
      <c r="I6" s="2"/>
      <c r="J6" s="2"/>
      <c r="K6" s="2"/>
      <c r="L6" s="2"/>
      <c r="M6" s="2"/>
    </row>
    <row r="7" spans="1:17" ht="18" x14ac:dyDescent="0.25">
      <c r="A7" s="8">
        <v>2</v>
      </c>
      <c r="B7" s="8">
        <v>2</v>
      </c>
      <c r="C7" s="63">
        <v>46134</v>
      </c>
      <c r="D7" s="33">
        <v>125</v>
      </c>
      <c r="E7" s="8"/>
      <c r="F7" s="8">
        <v>125</v>
      </c>
      <c r="G7" s="8" t="s">
        <v>113</v>
      </c>
      <c r="H7" s="2"/>
      <c r="I7" s="2"/>
      <c r="J7" s="2"/>
      <c r="K7" s="2"/>
      <c r="L7" s="2"/>
      <c r="M7" s="2"/>
    </row>
    <row r="8" spans="1:17" ht="18" x14ac:dyDescent="0.25">
      <c r="A8" s="8">
        <v>3</v>
      </c>
      <c r="B8" s="8">
        <v>3</v>
      </c>
      <c r="C8" s="63">
        <v>46242</v>
      </c>
      <c r="D8" s="33">
        <v>125</v>
      </c>
      <c r="E8" s="8"/>
      <c r="F8" s="8">
        <v>125</v>
      </c>
      <c r="G8" s="8" t="s">
        <v>100</v>
      </c>
      <c r="H8" s="2"/>
      <c r="I8" s="2"/>
      <c r="J8" s="2"/>
      <c r="K8" s="2"/>
      <c r="L8" s="2"/>
      <c r="M8" s="2"/>
    </row>
    <row r="9" spans="1:17" ht="18" x14ac:dyDescent="0.25">
      <c r="A9" s="8">
        <v>4</v>
      </c>
      <c r="B9" s="8">
        <v>4</v>
      </c>
      <c r="C9" s="51">
        <v>46159</v>
      </c>
      <c r="D9" s="33">
        <v>150</v>
      </c>
      <c r="E9" s="8"/>
      <c r="F9" s="8">
        <v>150</v>
      </c>
      <c r="G9" s="8" t="s">
        <v>101</v>
      </c>
      <c r="H9" s="2"/>
      <c r="I9" s="2"/>
      <c r="J9" s="2"/>
      <c r="K9" s="2"/>
      <c r="L9" s="2"/>
      <c r="M9" s="2"/>
    </row>
    <row r="10" spans="1:17" ht="18" x14ac:dyDescent="0.25">
      <c r="A10" s="8">
        <v>5</v>
      </c>
      <c r="B10" s="8">
        <v>5</v>
      </c>
      <c r="C10" s="51">
        <v>46159</v>
      </c>
      <c r="D10" s="33">
        <v>150</v>
      </c>
      <c r="E10" s="8"/>
      <c r="F10" s="8">
        <v>150</v>
      </c>
      <c r="G10" s="8" t="s">
        <v>102</v>
      </c>
      <c r="H10" s="2"/>
      <c r="I10" s="2"/>
      <c r="J10" s="2"/>
      <c r="K10" s="2"/>
      <c r="L10" s="2"/>
      <c r="M10" s="2"/>
    </row>
    <row r="11" spans="1:17" ht="18" x14ac:dyDescent="0.25">
      <c r="A11" s="8">
        <v>6</v>
      </c>
      <c r="B11" s="8">
        <v>6</v>
      </c>
      <c r="C11" s="63">
        <v>46242</v>
      </c>
      <c r="D11" s="33"/>
      <c r="E11" s="8"/>
      <c r="F11" s="8">
        <v>150</v>
      </c>
      <c r="G11" s="8" t="s">
        <v>103</v>
      </c>
      <c r="H11" s="2"/>
      <c r="I11" s="2"/>
      <c r="J11" s="2"/>
      <c r="K11" s="2"/>
      <c r="L11" s="2"/>
      <c r="M11" s="2"/>
    </row>
    <row r="12" spans="1:17" ht="18" x14ac:dyDescent="0.25">
      <c r="A12" s="8">
        <v>7</v>
      </c>
      <c r="B12" s="8">
        <v>7</v>
      </c>
      <c r="C12" s="63">
        <v>46242</v>
      </c>
      <c r="D12" s="33"/>
      <c r="E12" s="8"/>
      <c r="F12" s="8">
        <v>150</v>
      </c>
      <c r="G12" s="8" t="s">
        <v>104</v>
      </c>
      <c r="H12" s="2"/>
      <c r="I12" s="2"/>
      <c r="J12" s="2"/>
      <c r="K12" s="2"/>
      <c r="L12" s="2"/>
      <c r="M12" s="2"/>
    </row>
    <row r="13" spans="1:17" ht="18" x14ac:dyDescent="0.25">
      <c r="A13" s="8">
        <v>8</v>
      </c>
      <c r="B13" s="8">
        <v>8</v>
      </c>
      <c r="C13" s="51">
        <v>46371</v>
      </c>
      <c r="D13" s="33"/>
      <c r="E13" s="8"/>
      <c r="F13" s="8">
        <v>150</v>
      </c>
      <c r="G13" s="8" t="s">
        <v>105</v>
      </c>
      <c r="H13" s="2"/>
      <c r="I13" s="2"/>
      <c r="J13" s="2"/>
      <c r="K13" s="2"/>
      <c r="L13" s="2"/>
      <c r="M13" s="2"/>
    </row>
    <row r="14" spans="1:17" ht="18" x14ac:dyDescent="0.25">
      <c r="A14" s="8">
        <v>9</v>
      </c>
      <c r="B14" s="8">
        <v>9</v>
      </c>
      <c r="C14" s="51">
        <v>46371</v>
      </c>
      <c r="D14" s="33"/>
      <c r="E14" s="8"/>
      <c r="F14" s="8">
        <v>150</v>
      </c>
      <c r="G14" s="8" t="s">
        <v>106</v>
      </c>
      <c r="H14" s="2"/>
      <c r="I14" s="2"/>
      <c r="J14" s="2"/>
      <c r="K14" s="2"/>
      <c r="L14" s="2"/>
      <c r="M14" s="2"/>
    </row>
    <row r="15" spans="1:17" ht="18" x14ac:dyDescent="0.25">
      <c r="A15" s="8">
        <v>10</v>
      </c>
      <c r="B15" s="8">
        <v>10</v>
      </c>
      <c r="C15" s="51">
        <v>46371</v>
      </c>
      <c r="D15" s="33"/>
      <c r="E15" s="8"/>
      <c r="F15" s="8">
        <v>150</v>
      </c>
      <c r="G15" s="8" t="s">
        <v>107</v>
      </c>
      <c r="H15" s="2"/>
      <c r="I15" s="2"/>
      <c r="J15" s="2"/>
      <c r="K15" s="2"/>
      <c r="L15" s="2"/>
      <c r="M15" s="2"/>
    </row>
    <row r="16" spans="1:17" ht="18" x14ac:dyDescent="0.25">
      <c r="A16" s="8">
        <v>11</v>
      </c>
      <c r="B16" s="8">
        <v>11</v>
      </c>
      <c r="C16" s="51">
        <v>46371</v>
      </c>
      <c r="D16" s="33"/>
      <c r="E16" s="8"/>
      <c r="F16" s="8">
        <v>150</v>
      </c>
      <c r="G16" s="8" t="s">
        <v>108</v>
      </c>
      <c r="H16" s="2"/>
      <c r="I16" s="2"/>
      <c r="J16" s="2"/>
      <c r="K16" s="2"/>
      <c r="L16" s="2"/>
      <c r="M16" s="2"/>
    </row>
    <row r="17" spans="1:13" ht="18" x14ac:dyDescent="0.25">
      <c r="A17" s="8">
        <v>12</v>
      </c>
      <c r="B17" s="8">
        <v>12</v>
      </c>
      <c r="C17" s="51">
        <v>46371</v>
      </c>
      <c r="D17" s="33"/>
      <c r="E17" s="8"/>
      <c r="F17" s="8">
        <v>150</v>
      </c>
      <c r="G17" s="8" t="s">
        <v>153</v>
      </c>
      <c r="H17" s="2"/>
      <c r="I17" s="2"/>
      <c r="J17" s="2"/>
      <c r="K17" s="2"/>
      <c r="L17" s="2"/>
      <c r="M17" s="2"/>
    </row>
    <row r="18" spans="1:13" ht="18" x14ac:dyDescent="0.25">
      <c r="A18" s="8"/>
      <c r="B18" s="8"/>
      <c r="C18" s="63"/>
      <c r="D18" s="8"/>
      <c r="E18" s="8"/>
      <c r="F18" s="8"/>
      <c r="G18" s="8"/>
      <c r="H18" s="2"/>
      <c r="I18" s="2"/>
      <c r="J18" s="2"/>
      <c r="K18" s="2"/>
      <c r="L18" s="2"/>
      <c r="M18" s="2"/>
    </row>
    <row r="19" spans="1:13" ht="18" x14ac:dyDescent="0.25">
      <c r="A19" s="8"/>
      <c r="B19" s="8"/>
      <c r="C19" s="63"/>
      <c r="D19" s="8"/>
      <c r="E19" s="8"/>
      <c r="F19" s="8"/>
      <c r="G19" s="8"/>
      <c r="H19" s="2"/>
      <c r="I19" s="2"/>
      <c r="J19" s="2"/>
      <c r="K19" s="2"/>
      <c r="L19" s="2"/>
      <c r="M19" s="2"/>
    </row>
    <row r="20" spans="1:13" ht="18" x14ac:dyDescent="0.25">
      <c r="A20" s="8"/>
      <c r="B20" s="8"/>
      <c r="C20" s="63"/>
      <c r="D20" s="8"/>
      <c r="E20" s="8"/>
      <c r="F20" s="8"/>
      <c r="G20" s="8"/>
      <c r="H20" s="2"/>
      <c r="I20" s="2"/>
      <c r="J20" s="2"/>
      <c r="K20" s="2"/>
      <c r="L20" s="2"/>
      <c r="M20" s="2"/>
    </row>
    <row r="21" spans="1:13" ht="18" x14ac:dyDescent="0.25">
      <c r="A21" s="8"/>
      <c r="B21" s="8"/>
      <c r="C21" s="63"/>
      <c r="D21" s="8"/>
      <c r="E21" s="8"/>
      <c r="F21" s="8"/>
      <c r="G21" s="8"/>
      <c r="H21" s="2"/>
      <c r="I21" s="2"/>
      <c r="J21" s="2"/>
      <c r="K21" s="2"/>
      <c r="L21" s="2"/>
      <c r="M21" s="2"/>
    </row>
    <row r="22" spans="1:13" ht="18" x14ac:dyDescent="0.25">
      <c r="A22" s="8"/>
      <c r="B22" s="8"/>
      <c r="C22" s="63"/>
      <c r="D22" s="8"/>
      <c r="E22" s="8"/>
      <c r="F22" s="8"/>
      <c r="G22" s="8"/>
      <c r="H22" s="2"/>
      <c r="I22" s="2"/>
      <c r="J22" s="2"/>
      <c r="K22" s="2"/>
      <c r="L22" s="2"/>
      <c r="M22" s="2"/>
    </row>
    <row r="23" spans="1:13" ht="18" x14ac:dyDescent="0.25">
      <c r="A23" s="8"/>
      <c r="B23" s="8"/>
      <c r="C23" s="63"/>
      <c r="D23" s="8"/>
      <c r="E23" s="8"/>
      <c r="F23" s="8"/>
      <c r="G23" s="8"/>
      <c r="H23" s="2"/>
      <c r="I23" s="2"/>
      <c r="J23" s="2"/>
      <c r="K23" s="2"/>
      <c r="L23" s="2"/>
      <c r="M23" s="2"/>
    </row>
    <row r="24" spans="1:13" ht="18" x14ac:dyDescent="0.25">
      <c r="A24" s="8"/>
      <c r="B24" s="8"/>
      <c r="C24" s="63"/>
      <c r="D24" s="8"/>
      <c r="E24" s="8"/>
      <c r="F24" s="8"/>
      <c r="G24" s="8"/>
      <c r="H24" s="2"/>
      <c r="I24" s="2"/>
      <c r="J24" s="2"/>
      <c r="K24" s="2"/>
      <c r="L24" s="2"/>
      <c r="M24" s="2"/>
    </row>
    <row r="25" spans="1:13" ht="18" x14ac:dyDescent="0.25">
      <c r="A25" s="8"/>
      <c r="B25" s="8"/>
      <c r="C25" s="63"/>
      <c r="D25" s="8"/>
      <c r="E25" s="8"/>
      <c r="F25" s="8"/>
      <c r="G25" s="8"/>
      <c r="H25" s="2"/>
      <c r="I25" s="2"/>
      <c r="J25" s="2"/>
      <c r="K25" s="2"/>
      <c r="L25" s="2"/>
      <c r="M25" s="2"/>
    </row>
    <row r="26" spans="1:13" ht="18" x14ac:dyDescent="0.25">
      <c r="A26" s="8"/>
      <c r="B26" s="8"/>
      <c r="C26" s="63"/>
      <c r="D26" s="8"/>
      <c r="E26" s="8"/>
      <c r="F26" s="8"/>
      <c r="G26" s="8"/>
      <c r="H26" s="2"/>
      <c r="I26" s="2"/>
      <c r="J26" s="2"/>
      <c r="K26" s="2"/>
      <c r="L26" s="2"/>
      <c r="M26" s="2"/>
    </row>
    <row r="27" spans="1:13" ht="18" x14ac:dyDescent="0.25">
      <c r="A27" s="8"/>
      <c r="B27" s="8"/>
      <c r="C27" s="63"/>
      <c r="D27" s="8"/>
      <c r="E27" s="8"/>
      <c r="F27" s="8"/>
      <c r="G27" s="8"/>
      <c r="H27" s="2"/>
      <c r="I27" s="2"/>
      <c r="J27" s="2"/>
      <c r="K27" s="2"/>
      <c r="L27" s="2"/>
      <c r="M27" s="2"/>
    </row>
    <row r="28" spans="1:13" ht="18" x14ac:dyDescent="0.25">
      <c r="A28" s="8"/>
      <c r="B28" s="8"/>
      <c r="C28" s="63"/>
      <c r="D28" s="8"/>
      <c r="E28" s="8"/>
      <c r="F28" s="8"/>
      <c r="G28" s="8"/>
      <c r="H28" s="2"/>
      <c r="I28" s="2"/>
      <c r="J28" s="2"/>
      <c r="K28" s="2"/>
      <c r="L28" s="2"/>
      <c r="M28" s="2"/>
    </row>
    <row r="29" spans="1:13" ht="18" x14ac:dyDescent="0.25">
      <c r="A29" s="8"/>
      <c r="B29" s="8"/>
      <c r="C29" s="63"/>
      <c r="D29" s="8"/>
      <c r="E29" s="8"/>
      <c r="F29" s="8"/>
      <c r="G29" s="8"/>
      <c r="H29" s="2"/>
      <c r="I29" s="2"/>
      <c r="J29" s="2"/>
      <c r="K29" s="2"/>
      <c r="L29" s="2"/>
      <c r="M29" s="2"/>
    </row>
    <row r="30" spans="1:13" ht="18" x14ac:dyDescent="0.25">
      <c r="A30" s="8"/>
      <c r="B30" s="8"/>
      <c r="C30" s="63"/>
      <c r="D30" s="8"/>
      <c r="E30" s="8"/>
      <c r="F30" s="8"/>
      <c r="G30" s="8"/>
      <c r="H30" s="2"/>
      <c r="I30" s="2"/>
      <c r="J30" s="2"/>
      <c r="K30" s="2"/>
      <c r="L30" s="2"/>
      <c r="M30" s="2"/>
    </row>
    <row r="31" spans="1:13" ht="18" x14ac:dyDescent="0.25">
      <c r="A31" s="8"/>
      <c r="B31" s="8"/>
      <c r="C31" s="63"/>
      <c r="D31" s="8"/>
      <c r="E31" s="8"/>
      <c r="F31" s="8"/>
      <c r="G31" s="8"/>
      <c r="H31" s="2"/>
      <c r="I31" s="2"/>
      <c r="J31" s="2"/>
      <c r="K31" s="2"/>
      <c r="L31" s="2"/>
      <c r="M31" s="2"/>
    </row>
    <row r="32" spans="1:13" ht="18" x14ac:dyDescent="0.25">
      <c r="A32" s="8"/>
      <c r="B32" s="8"/>
      <c r="C32" s="63"/>
      <c r="D32" s="8"/>
      <c r="E32" s="8"/>
      <c r="F32" s="8"/>
      <c r="G32" s="8"/>
      <c r="H32" s="2"/>
      <c r="I32" s="2"/>
      <c r="J32" s="2"/>
      <c r="K32" s="2"/>
      <c r="L32" s="2"/>
      <c r="M32" s="2"/>
    </row>
    <row r="33" spans="1:13" ht="18" x14ac:dyDescent="0.25">
      <c r="A33" s="8"/>
      <c r="B33" s="8"/>
      <c r="C33" s="63"/>
      <c r="D33" s="8"/>
      <c r="E33" s="8"/>
      <c r="F33" s="8"/>
      <c r="G33" s="8"/>
      <c r="H33" s="2"/>
      <c r="I33" s="2"/>
      <c r="J33" s="2"/>
      <c r="K33" s="2"/>
      <c r="L33" s="2"/>
      <c r="M33" s="2"/>
    </row>
    <row r="34" spans="1:13" ht="18" x14ac:dyDescent="0.25">
      <c r="A34" s="8"/>
      <c r="B34" s="8"/>
      <c r="C34" s="63"/>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Q34"/>
  <sheetViews>
    <sheetView rightToLeft="1" topLeftCell="B1" workbookViewId="0">
      <selection activeCell="K13" sqref="K13"/>
    </sheetView>
  </sheetViews>
  <sheetFormatPr defaultRowHeight="14.25" x14ac:dyDescent="0.2"/>
  <cols>
    <col min="1" max="1" width="4.375" style="3" customWidth="1"/>
    <col min="2" max="2" width="4.125" style="68" bestFit="1" customWidth="1"/>
    <col min="3" max="3" width="14.875" style="78" bestFit="1" customWidth="1"/>
    <col min="4" max="4" width="8.25" style="66" bestFit="1" customWidth="1"/>
    <col min="5" max="5" width="24.75" style="3" bestFit="1" customWidth="1"/>
    <col min="6" max="6" width="9.75" style="66" customWidth="1"/>
    <col min="7" max="7" width="9" style="3"/>
  </cols>
  <sheetData>
    <row r="2" spans="1:17" ht="26.25" x14ac:dyDescent="0.4">
      <c r="C2" s="99" t="s">
        <v>20</v>
      </c>
      <c r="D2" s="99"/>
      <c r="E2" s="99"/>
      <c r="F2" s="99"/>
      <c r="G2" s="99"/>
      <c r="H2" s="99"/>
      <c r="I2" s="99"/>
      <c r="J2" s="99"/>
      <c r="K2" s="99"/>
      <c r="L2" s="99"/>
      <c r="M2" s="99"/>
      <c r="N2" s="99"/>
      <c r="O2" s="99"/>
      <c r="P2" s="99"/>
      <c r="Q2" s="99"/>
    </row>
    <row r="3" spans="1:17" ht="56.25" x14ac:dyDescent="0.4">
      <c r="C3" s="75"/>
      <c r="D3" s="18" t="s">
        <v>8</v>
      </c>
      <c r="E3" s="18"/>
      <c r="F3" s="18" t="s">
        <v>18</v>
      </c>
      <c r="G3" s="1"/>
      <c r="H3" s="1"/>
      <c r="I3" s="1"/>
      <c r="J3" s="1"/>
      <c r="K3" s="1"/>
      <c r="L3" s="1"/>
      <c r="M3" s="1"/>
      <c r="N3" s="1"/>
      <c r="O3" s="1"/>
      <c r="P3" s="1"/>
      <c r="Q3" s="1"/>
    </row>
    <row r="4" spans="1:17" ht="18" x14ac:dyDescent="0.25">
      <c r="C4" s="76"/>
      <c r="D4" s="83">
        <f>SUM(D6:D2001)</f>
        <v>2000</v>
      </c>
      <c r="E4" s="11"/>
      <c r="F4" s="83">
        <f>SUM(F6:F2001)</f>
        <v>3000</v>
      </c>
    </row>
    <row r="5" spans="1:17" ht="36" x14ac:dyDescent="0.2">
      <c r="A5" s="4" t="s">
        <v>7</v>
      </c>
      <c r="B5" s="4" t="s">
        <v>17</v>
      </c>
      <c r="C5" s="50" t="s">
        <v>1</v>
      </c>
      <c r="D5" s="4" t="s">
        <v>2</v>
      </c>
      <c r="E5" s="4" t="s">
        <v>4</v>
      </c>
      <c r="F5" s="4" t="s">
        <v>19</v>
      </c>
      <c r="G5" s="4" t="s">
        <v>4</v>
      </c>
      <c r="H5" s="5"/>
      <c r="I5" s="5"/>
      <c r="J5" s="5"/>
      <c r="K5" s="5"/>
      <c r="L5" s="5"/>
      <c r="M5" s="5"/>
    </row>
    <row r="6" spans="1:17" ht="18" x14ac:dyDescent="0.25">
      <c r="A6" s="8">
        <v>1</v>
      </c>
      <c r="B6" s="73">
        <v>1</v>
      </c>
      <c r="C6" s="77">
        <v>46026</v>
      </c>
      <c r="D6" s="33">
        <v>250</v>
      </c>
      <c r="E6" s="8"/>
      <c r="F6" s="33">
        <v>250</v>
      </c>
      <c r="G6" s="8" t="s">
        <v>219</v>
      </c>
      <c r="H6" s="2"/>
      <c r="I6" s="2"/>
      <c r="J6" s="2"/>
      <c r="K6" s="2"/>
      <c r="L6" s="2"/>
      <c r="M6" s="2"/>
    </row>
    <row r="7" spans="1:17" ht="18" x14ac:dyDescent="0.25">
      <c r="A7" s="8">
        <v>2</v>
      </c>
      <c r="B7" s="73">
        <v>2</v>
      </c>
      <c r="C7" s="77">
        <v>46065</v>
      </c>
      <c r="D7" s="33">
        <v>250</v>
      </c>
      <c r="E7" s="8"/>
      <c r="F7" s="33">
        <v>250</v>
      </c>
      <c r="G7" s="8" t="s">
        <v>99</v>
      </c>
      <c r="H7" s="2"/>
      <c r="I7" s="2"/>
      <c r="J7" s="2"/>
      <c r="K7" s="2"/>
      <c r="L7" s="2"/>
      <c r="M7" s="2"/>
    </row>
    <row r="8" spans="1:17" ht="18" x14ac:dyDescent="0.25">
      <c r="A8" s="8">
        <v>3</v>
      </c>
      <c r="B8" s="73">
        <v>3</v>
      </c>
      <c r="C8" s="77">
        <v>46115</v>
      </c>
      <c r="D8" s="33">
        <v>250</v>
      </c>
      <c r="E8" s="8"/>
      <c r="F8" s="33">
        <v>250</v>
      </c>
      <c r="G8" s="8" t="s">
        <v>100</v>
      </c>
      <c r="H8" s="2"/>
      <c r="I8" s="2"/>
      <c r="J8" s="2"/>
      <c r="K8" s="2"/>
      <c r="L8" s="2"/>
      <c r="M8" s="2"/>
    </row>
    <row r="9" spans="1:17" ht="18" x14ac:dyDescent="0.25">
      <c r="A9" s="8">
        <v>4</v>
      </c>
      <c r="B9" s="73">
        <v>4</v>
      </c>
      <c r="C9" s="77">
        <v>46152</v>
      </c>
      <c r="D9" s="33">
        <v>250</v>
      </c>
      <c r="E9" s="8"/>
      <c r="F9" s="33">
        <v>250</v>
      </c>
      <c r="G9" s="8" t="s">
        <v>101</v>
      </c>
      <c r="H9" s="2"/>
      <c r="I9" s="2"/>
      <c r="J9" s="2"/>
      <c r="K9" s="2"/>
      <c r="L9" s="2"/>
      <c r="M9" s="2"/>
    </row>
    <row r="10" spans="1:17" ht="18" x14ac:dyDescent="0.25">
      <c r="A10" s="8">
        <v>5</v>
      </c>
      <c r="B10" s="73">
        <v>5</v>
      </c>
      <c r="C10" s="77">
        <v>46152</v>
      </c>
      <c r="D10" s="33">
        <v>250</v>
      </c>
      <c r="E10" s="8"/>
      <c r="F10" s="33">
        <v>250</v>
      </c>
      <c r="G10" s="8" t="s">
        <v>102</v>
      </c>
      <c r="H10" s="2"/>
      <c r="I10" s="2"/>
      <c r="J10" s="2"/>
      <c r="K10" s="2"/>
      <c r="L10" s="2"/>
      <c r="M10" s="2"/>
    </row>
    <row r="11" spans="1:17" ht="18" x14ac:dyDescent="0.25">
      <c r="A11" s="8">
        <v>6</v>
      </c>
      <c r="B11" s="73">
        <v>6</v>
      </c>
      <c r="C11" s="77">
        <v>46186</v>
      </c>
      <c r="D11" s="33">
        <v>250</v>
      </c>
      <c r="E11" s="8"/>
      <c r="F11" s="33">
        <v>250</v>
      </c>
      <c r="G11" s="8" t="s">
        <v>103</v>
      </c>
      <c r="H11" s="2"/>
      <c r="I11" s="2"/>
      <c r="J11" s="2"/>
      <c r="K11" s="2"/>
      <c r="L11" s="2"/>
      <c r="M11" s="2"/>
    </row>
    <row r="12" spans="1:17" ht="18" x14ac:dyDescent="0.25">
      <c r="A12" s="8">
        <v>7</v>
      </c>
      <c r="B12" s="73">
        <v>7</v>
      </c>
      <c r="C12" s="77">
        <v>46216</v>
      </c>
      <c r="D12" s="33">
        <v>250</v>
      </c>
      <c r="E12" s="8"/>
      <c r="F12" s="33">
        <v>250</v>
      </c>
      <c r="G12" s="8" t="s">
        <v>104</v>
      </c>
      <c r="H12" s="2"/>
      <c r="I12" s="2"/>
      <c r="J12" s="2"/>
      <c r="K12" s="2"/>
      <c r="L12" s="2"/>
      <c r="M12" s="2"/>
    </row>
    <row r="13" spans="1:17" ht="18" x14ac:dyDescent="0.25">
      <c r="A13" s="8">
        <v>8</v>
      </c>
      <c r="B13" s="73">
        <v>8</v>
      </c>
      <c r="C13" s="77">
        <v>46252</v>
      </c>
      <c r="D13" s="33">
        <v>250</v>
      </c>
      <c r="E13" s="8"/>
      <c r="F13" s="33">
        <v>250</v>
      </c>
      <c r="G13" s="8" t="s">
        <v>105</v>
      </c>
      <c r="H13" s="2"/>
      <c r="I13" s="2"/>
      <c r="J13" s="2"/>
      <c r="K13" s="2"/>
      <c r="L13" s="2"/>
      <c r="M13" s="2"/>
    </row>
    <row r="14" spans="1:17" ht="18" x14ac:dyDescent="0.25">
      <c r="A14" s="8">
        <v>9</v>
      </c>
      <c r="B14" s="73">
        <v>9</v>
      </c>
      <c r="C14" s="77"/>
      <c r="D14" s="33"/>
      <c r="E14" s="8"/>
      <c r="F14" s="33">
        <v>250</v>
      </c>
      <c r="G14" s="8" t="s">
        <v>106</v>
      </c>
      <c r="H14" s="2"/>
      <c r="I14" s="2"/>
      <c r="J14" s="2"/>
      <c r="K14" s="2"/>
      <c r="L14" s="2"/>
      <c r="M14" s="2"/>
    </row>
    <row r="15" spans="1:17" ht="18" x14ac:dyDescent="0.25">
      <c r="A15" s="8">
        <v>10</v>
      </c>
      <c r="B15" s="73">
        <v>10</v>
      </c>
      <c r="C15" s="77"/>
      <c r="D15" s="33"/>
      <c r="E15" s="8"/>
      <c r="F15" s="33">
        <v>250</v>
      </c>
      <c r="G15" s="8" t="s">
        <v>107</v>
      </c>
      <c r="H15" s="2"/>
      <c r="I15" s="2"/>
      <c r="J15" s="2"/>
      <c r="K15" s="2"/>
      <c r="L15" s="2"/>
      <c r="M15" s="2"/>
    </row>
    <row r="16" spans="1:17" ht="18" x14ac:dyDescent="0.25">
      <c r="A16" s="8">
        <v>11</v>
      </c>
      <c r="B16" s="73">
        <v>11</v>
      </c>
      <c r="C16" s="77"/>
      <c r="D16" s="33"/>
      <c r="E16" s="8"/>
      <c r="F16" s="33">
        <v>250</v>
      </c>
      <c r="G16" s="8" t="s">
        <v>108</v>
      </c>
      <c r="H16" s="2"/>
      <c r="I16" s="2"/>
      <c r="J16" s="2"/>
      <c r="K16" s="2"/>
      <c r="L16" s="2"/>
      <c r="M16" s="2"/>
    </row>
    <row r="17" spans="1:13" ht="18" x14ac:dyDescent="0.25">
      <c r="A17" s="8">
        <v>12</v>
      </c>
      <c r="B17" s="73">
        <v>12</v>
      </c>
      <c r="C17" s="77"/>
      <c r="D17" s="33"/>
      <c r="E17" s="8"/>
      <c r="F17" s="33">
        <v>250</v>
      </c>
      <c r="G17" s="8" t="s">
        <v>109</v>
      </c>
      <c r="H17" s="2"/>
      <c r="I17" s="2"/>
      <c r="J17" s="2"/>
      <c r="K17" s="2"/>
      <c r="L17" s="2"/>
      <c r="M17" s="2"/>
    </row>
    <row r="18" spans="1:13" ht="18" x14ac:dyDescent="0.25">
      <c r="A18" s="8"/>
      <c r="B18" s="73"/>
      <c r="C18" s="77"/>
      <c r="D18" s="33"/>
      <c r="E18" s="8"/>
      <c r="F18" s="33"/>
      <c r="G18" s="8"/>
      <c r="H18" s="2"/>
      <c r="I18" s="2"/>
      <c r="J18" s="2"/>
      <c r="K18" s="2"/>
      <c r="L18" s="2"/>
      <c r="M18" s="2"/>
    </row>
    <row r="19" spans="1:13" ht="18" x14ac:dyDescent="0.25">
      <c r="A19" s="8"/>
      <c r="B19" s="73"/>
      <c r="C19" s="77"/>
      <c r="D19" s="33"/>
      <c r="E19" s="8"/>
      <c r="F19" s="33"/>
      <c r="G19" s="8"/>
      <c r="H19" s="2"/>
      <c r="I19" s="2"/>
      <c r="J19" s="2"/>
      <c r="K19" s="2"/>
      <c r="L19" s="2"/>
      <c r="M19" s="2"/>
    </row>
    <row r="20" spans="1:13" ht="18" x14ac:dyDescent="0.25">
      <c r="A20" s="8"/>
      <c r="B20" s="73"/>
      <c r="C20" s="77"/>
      <c r="D20" s="33"/>
      <c r="E20" s="8"/>
      <c r="F20" s="33"/>
      <c r="G20" s="8"/>
      <c r="H20" s="2"/>
      <c r="I20" s="2"/>
      <c r="J20" s="2"/>
      <c r="K20" s="2"/>
      <c r="L20" s="2"/>
      <c r="M20" s="2"/>
    </row>
    <row r="21" spans="1:13" ht="18" x14ac:dyDescent="0.25">
      <c r="A21" s="8"/>
      <c r="B21" s="73"/>
      <c r="C21" s="77"/>
      <c r="D21" s="33"/>
      <c r="E21" s="8"/>
      <c r="F21" s="33"/>
      <c r="G21" s="8"/>
      <c r="H21" s="2"/>
      <c r="I21" s="2"/>
      <c r="J21" s="2"/>
      <c r="K21" s="2"/>
      <c r="L21" s="2"/>
      <c r="M21" s="2"/>
    </row>
    <row r="22" spans="1:13" ht="18" x14ac:dyDescent="0.25">
      <c r="A22" s="8"/>
      <c r="B22" s="73"/>
      <c r="C22" s="77"/>
      <c r="D22" s="33"/>
      <c r="E22" s="8"/>
      <c r="F22" s="33"/>
      <c r="G22" s="8"/>
      <c r="H22" s="2"/>
      <c r="I22" s="2"/>
      <c r="J22" s="2"/>
      <c r="K22" s="2"/>
      <c r="L22" s="2"/>
      <c r="M22" s="2"/>
    </row>
    <row r="23" spans="1:13" ht="18" x14ac:dyDescent="0.25">
      <c r="A23" s="8"/>
      <c r="B23" s="73"/>
      <c r="C23" s="77"/>
      <c r="D23" s="33"/>
      <c r="E23" s="8"/>
      <c r="F23" s="33"/>
      <c r="G23" s="8"/>
      <c r="H23" s="2"/>
      <c r="I23" s="2"/>
      <c r="J23" s="2"/>
      <c r="K23" s="2"/>
      <c r="L23" s="2"/>
      <c r="M23" s="2"/>
    </row>
    <row r="24" spans="1:13" ht="18" x14ac:dyDescent="0.25">
      <c r="A24" s="8"/>
      <c r="B24" s="73"/>
      <c r="C24" s="77"/>
      <c r="D24" s="33"/>
      <c r="E24" s="8"/>
      <c r="F24" s="33"/>
      <c r="G24" s="8"/>
      <c r="H24" s="2"/>
      <c r="I24" s="2"/>
      <c r="J24" s="2"/>
      <c r="K24" s="2"/>
      <c r="L24" s="2"/>
      <c r="M24" s="2"/>
    </row>
    <row r="25" spans="1:13" ht="18" x14ac:dyDescent="0.25">
      <c r="A25" s="8"/>
      <c r="B25" s="73"/>
      <c r="C25" s="77"/>
      <c r="D25" s="33"/>
      <c r="E25" s="8"/>
      <c r="F25" s="33"/>
      <c r="G25" s="8"/>
      <c r="H25" s="2"/>
      <c r="I25" s="2"/>
      <c r="J25" s="2"/>
      <c r="K25" s="2"/>
      <c r="L25" s="2"/>
      <c r="M25" s="2"/>
    </row>
    <row r="26" spans="1:13" ht="18" x14ac:dyDescent="0.25">
      <c r="A26" s="8"/>
      <c r="B26" s="73"/>
      <c r="C26" s="77"/>
      <c r="D26" s="33"/>
      <c r="E26" s="8"/>
      <c r="F26" s="33"/>
      <c r="G26" s="8"/>
      <c r="H26" s="2"/>
      <c r="I26" s="2"/>
      <c r="J26" s="2"/>
      <c r="K26" s="2"/>
      <c r="L26" s="2"/>
      <c r="M26" s="2"/>
    </row>
    <row r="27" spans="1:13" ht="18" x14ac:dyDescent="0.25">
      <c r="A27" s="8"/>
      <c r="B27" s="73"/>
      <c r="C27" s="77"/>
      <c r="D27" s="33"/>
      <c r="E27" s="8"/>
      <c r="F27" s="33"/>
      <c r="G27" s="8"/>
      <c r="H27" s="2"/>
      <c r="I27" s="2"/>
      <c r="J27" s="2"/>
      <c r="K27" s="2"/>
      <c r="L27" s="2"/>
      <c r="M27" s="2"/>
    </row>
    <row r="28" spans="1:13" ht="18" x14ac:dyDescent="0.25">
      <c r="A28" s="8"/>
      <c r="B28" s="73"/>
      <c r="C28" s="77"/>
      <c r="D28" s="33"/>
      <c r="E28" s="8"/>
      <c r="F28" s="33"/>
      <c r="G28" s="8"/>
      <c r="H28" s="2"/>
      <c r="I28" s="2"/>
      <c r="J28" s="2"/>
      <c r="K28" s="2"/>
      <c r="L28" s="2"/>
      <c r="M28" s="2"/>
    </row>
    <row r="29" spans="1:13" ht="18" x14ac:dyDescent="0.25">
      <c r="A29" s="8"/>
      <c r="B29" s="73"/>
      <c r="C29" s="77"/>
      <c r="D29" s="33"/>
      <c r="E29" s="8"/>
      <c r="F29" s="33"/>
      <c r="G29" s="8"/>
      <c r="H29" s="2"/>
      <c r="I29" s="2"/>
      <c r="J29" s="2"/>
      <c r="K29" s="2"/>
      <c r="L29" s="2"/>
      <c r="M29" s="2"/>
    </row>
    <row r="30" spans="1:13" ht="18" x14ac:dyDescent="0.25">
      <c r="A30" s="8"/>
      <c r="B30" s="73"/>
      <c r="C30" s="77"/>
      <c r="D30" s="33"/>
      <c r="E30" s="8"/>
      <c r="F30" s="33"/>
      <c r="G30" s="8"/>
      <c r="H30" s="2"/>
      <c r="I30" s="2"/>
      <c r="J30" s="2"/>
      <c r="K30" s="2"/>
      <c r="L30" s="2"/>
      <c r="M30" s="2"/>
    </row>
    <row r="31" spans="1:13" ht="18" x14ac:dyDescent="0.25">
      <c r="A31" s="8"/>
      <c r="B31" s="73"/>
      <c r="C31" s="77"/>
      <c r="D31" s="33"/>
      <c r="E31" s="8"/>
      <c r="F31" s="33"/>
      <c r="G31" s="8"/>
      <c r="H31" s="2"/>
      <c r="I31" s="2"/>
      <c r="J31" s="2"/>
      <c r="K31" s="2"/>
      <c r="L31" s="2"/>
      <c r="M31" s="2"/>
    </row>
    <row r="32" spans="1:13" ht="18" x14ac:dyDescent="0.25">
      <c r="A32" s="8"/>
      <c r="B32" s="73"/>
      <c r="C32" s="77"/>
      <c r="D32" s="33"/>
      <c r="E32" s="8"/>
      <c r="F32" s="33"/>
      <c r="G32" s="8"/>
      <c r="H32" s="2"/>
      <c r="I32" s="2"/>
      <c r="J32" s="2"/>
      <c r="K32" s="2"/>
      <c r="L32" s="2"/>
      <c r="M32" s="2"/>
    </row>
    <row r="33" spans="1:13" ht="18" x14ac:dyDescent="0.25">
      <c r="A33" s="8"/>
      <c r="B33" s="73"/>
      <c r="C33" s="77"/>
      <c r="D33" s="33"/>
      <c r="E33" s="8"/>
      <c r="F33" s="33"/>
      <c r="G33" s="8"/>
      <c r="H33" s="2"/>
      <c r="I33" s="2"/>
      <c r="J33" s="2"/>
      <c r="K33" s="2"/>
      <c r="L33" s="2"/>
      <c r="M33" s="2"/>
    </row>
    <row r="34" spans="1:13" ht="18" x14ac:dyDescent="0.25">
      <c r="A34" s="8"/>
      <c r="B34" s="73"/>
      <c r="C34" s="77"/>
      <c r="D34" s="33"/>
      <c r="E34" s="8"/>
      <c r="F34" s="33"/>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Q34"/>
  <sheetViews>
    <sheetView rightToLeft="1" topLeftCell="A5" workbookViewId="0">
      <selection activeCell="C10" sqref="C10"/>
    </sheetView>
  </sheetViews>
  <sheetFormatPr defaultRowHeight="14.25" x14ac:dyDescent="0.2"/>
  <cols>
    <col min="1" max="2" width="4.375" style="3" customWidth="1"/>
    <col min="3" max="3" width="14.875" style="52" bestFit="1" customWidth="1"/>
    <col min="4" max="4" width="8.25" style="66" bestFit="1" customWidth="1"/>
    <col min="5" max="5" width="24.75" style="3" bestFit="1" customWidth="1"/>
    <col min="6" max="6" width="9.75" style="3" customWidth="1"/>
    <col min="7" max="7" width="9" style="3"/>
    <col min="14" max="14" width="11.25" customWidth="1"/>
  </cols>
  <sheetData>
    <row r="2" spans="1:17" ht="26.25" x14ac:dyDescent="0.4">
      <c r="C2" s="99" t="s">
        <v>114</v>
      </c>
      <c r="D2" s="99"/>
      <c r="E2" s="99"/>
      <c r="F2" s="99"/>
      <c r="G2" s="99"/>
      <c r="H2" s="99"/>
      <c r="I2" s="99"/>
      <c r="J2" s="99"/>
      <c r="K2" s="99"/>
      <c r="L2" s="99"/>
      <c r="M2" s="99"/>
      <c r="N2" s="99"/>
      <c r="O2" s="99"/>
      <c r="P2" s="99"/>
      <c r="Q2" s="99"/>
    </row>
    <row r="3" spans="1:17" ht="56.25" x14ac:dyDescent="0.4">
      <c r="C3" s="57"/>
      <c r="D3" s="18" t="s">
        <v>8</v>
      </c>
      <c r="E3" s="18"/>
      <c r="F3" s="18" t="s">
        <v>18</v>
      </c>
      <c r="G3" s="1"/>
      <c r="H3" s="1"/>
      <c r="I3" s="1"/>
      <c r="J3" s="1"/>
      <c r="K3" s="1"/>
      <c r="L3" s="1"/>
      <c r="M3" s="1"/>
      <c r="N3" s="1"/>
      <c r="O3" s="1"/>
      <c r="P3" s="1"/>
      <c r="Q3" s="1"/>
    </row>
    <row r="4" spans="1:17" ht="18" x14ac:dyDescent="0.25">
      <c r="C4" s="49"/>
      <c r="D4" s="83">
        <f>SUM(D6:D2001)</f>
        <v>675</v>
      </c>
      <c r="E4" s="11"/>
      <c r="F4" s="11">
        <f>SUM(F6:F2001)</f>
        <v>1725</v>
      </c>
    </row>
    <row r="5" spans="1:17" ht="36" x14ac:dyDescent="0.2">
      <c r="A5" s="4" t="s">
        <v>7</v>
      </c>
      <c r="B5" s="4" t="s">
        <v>17</v>
      </c>
      <c r="C5" s="50" t="s">
        <v>1</v>
      </c>
      <c r="D5" s="4" t="s">
        <v>2</v>
      </c>
      <c r="E5" s="4" t="s">
        <v>4</v>
      </c>
      <c r="F5" s="4" t="s">
        <v>19</v>
      </c>
      <c r="G5" s="4" t="s">
        <v>4</v>
      </c>
      <c r="H5" s="5"/>
      <c r="I5" s="5"/>
      <c r="J5" s="5"/>
      <c r="K5" s="5"/>
      <c r="L5" s="5"/>
      <c r="M5" s="5"/>
    </row>
    <row r="6" spans="1:17" ht="18" x14ac:dyDescent="0.25">
      <c r="A6" s="8">
        <v>1</v>
      </c>
      <c r="B6" s="8">
        <v>1</v>
      </c>
      <c r="C6" s="51">
        <v>46134</v>
      </c>
      <c r="D6" s="33">
        <v>125</v>
      </c>
      <c r="E6" s="8"/>
      <c r="F6" s="8">
        <v>125</v>
      </c>
      <c r="G6" s="8" t="s">
        <v>112</v>
      </c>
      <c r="H6" s="2"/>
      <c r="I6" s="2"/>
      <c r="J6" s="2"/>
      <c r="K6" s="2"/>
      <c r="L6" s="2"/>
      <c r="M6" s="2"/>
    </row>
    <row r="7" spans="1:17" ht="18" x14ac:dyDescent="0.25">
      <c r="A7" s="8">
        <v>2</v>
      </c>
      <c r="B7" s="8">
        <v>2</v>
      </c>
      <c r="C7" s="51">
        <v>46134</v>
      </c>
      <c r="D7" s="33">
        <v>125</v>
      </c>
      <c r="E7" s="8"/>
      <c r="F7" s="8">
        <v>125</v>
      </c>
      <c r="G7" s="8" t="s">
        <v>113</v>
      </c>
      <c r="H7" s="2"/>
      <c r="I7" s="2"/>
      <c r="J7" s="2"/>
      <c r="K7" s="2"/>
      <c r="L7" s="2"/>
      <c r="M7" s="2"/>
    </row>
    <row r="8" spans="1:17" ht="18" x14ac:dyDescent="0.25">
      <c r="A8" s="8">
        <v>3</v>
      </c>
      <c r="B8" s="8">
        <v>3</v>
      </c>
      <c r="C8" s="51">
        <v>46242</v>
      </c>
      <c r="D8" s="33">
        <v>125</v>
      </c>
      <c r="E8" s="8"/>
      <c r="F8" s="8">
        <v>125</v>
      </c>
      <c r="G8" s="8" t="s">
        <v>100</v>
      </c>
      <c r="H8" s="2"/>
      <c r="I8" s="2"/>
      <c r="J8" s="2"/>
      <c r="K8" s="2"/>
      <c r="L8" s="2"/>
      <c r="M8" s="2"/>
    </row>
    <row r="9" spans="1:17" ht="18" x14ac:dyDescent="0.25">
      <c r="A9" s="8">
        <v>4</v>
      </c>
      <c r="B9" s="8">
        <v>4</v>
      </c>
      <c r="C9" s="51">
        <v>46159</v>
      </c>
      <c r="D9" s="33">
        <v>150</v>
      </c>
      <c r="E9" s="8"/>
      <c r="F9" s="8">
        <v>150</v>
      </c>
      <c r="G9" s="8" t="s">
        <v>101</v>
      </c>
      <c r="H9" s="2"/>
      <c r="I9" s="2"/>
      <c r="J9" s="2"/>
      <c r="K9" s="2"/>
      <c r="L9" s="2"/>
      <c r="M9" s="2"/>
    </row>
    <row r="10" spans="1:17" ht="18" x14ac:dyDescent="0.25">
      <c r="A10" s="8">
        <v>5</v>
      </c>
      <c r="B10" s="8">
        <v>5</v>
      </c>
      <c r="C10" s="51">
        <v>46159</v>
      </c>
      <c r="D10" s="33">
        <v>150</v>
      </c>
      <c r="E10" s="8"/>
      <c r="F10" s="8">
        <v>150</v>
      </c>
      <c r="G10" s="8" t="s">
        <v>102</v>
      </c>
      <c r="H10" s="2"/>
      <c r="I10" s="2"/>
      <c r="J10" s="2"/>
      <c r="K10" s="2"/>
      <c r="L10" s="2"/>
      <c r="M10" s="2"/>
    </row>
    <row r="11" spans="1:17" ht="18" x14ac:dyDescent="0.25">
      <c r="A11" s="8">
        <v>6</v>
      </c>
      <c r="B11" s="8">
        <v>6</v>
      </c>
      <c r="C11" s="51">
        <v>46242</v>
      </c>
      <c r="D11" s="33"/>
      <c r="E11" s="8"/>
      <c r="F11" s="8">
        <v>150</v>
      </c>
      <c r="G11" s="8" t="s">
        <v>103</v>
      </c>
      <c r="H11" s="2"/>
      <c r="I11" s="2"/>
      <c r="J11" s="2"/>
      <c r="K11" s="2"/>
      <c r="L11" s="2"/>
      <c r="M11" s="2"/>
    </row>
    <row r="12" spans="1:17" ht="18" x14ac:dyDescent="0.25">
      <c r="A12" s="8">
        <v>7</v>
      </c>
      <c r="B12" s="8">
        <v>7</v>
      </c>
      <c r="C12" s="51">
        <v>46242</v>
      </c>
      <c r="D12" s="33"/>
      <c r="E12" s="8"/>
      <c r="F12" s="8">
        <v>150</v>
      </c>
      <c r="G12" s="8" t="s">
        <v>104</v>
      </c>
      <c r="H12" s="2"/>
      <c r="I12" s="2"/>
      <c r="J12" s="2"/>
      <c r="K12" s="2"/>
      <c r="L12" s="2"/>
      <c r="M12" s="2"/>
    </row>
    <row r="13" spans="1:17" ht="18" x14ac:dyDescent="0.25">
      <c r="A13" s="8">
        <v>8</v>
      </c>
      <c r="B13" s="8">
        <v>8</v>
      </c>
      <c r="C13" s="51">
        <v>46371</v>
      </c>
      <c r="D13" s="33"/>
      <c r="E13" s="8"/>
      <c r="F13" s="8">
        <v>150</v>
      </c>
      <c r="G13" s="8" t="s">
        <v>105</v>
      </c>
      <c r="H13" s="2"/>
      <c r="I13" s="2"/>
      <c r="J13" s="2"/>
      <c r="K13" s="2"/>
      <c r="L13" s="2"/>
      <c r="M13" s="2"/>
    </row>
    <row r="14" spans="1:17" ht="18" x14ac:dyDescent="0.25">
      <c r="A14" s="8">
        <v>9</v>
      </c>
      <c r="B14" s="8">
        <v>9</v>
      </c>
      <c r="C14" s="51">
        <v>46371</v>
      </c>
      <c r="D14" s="33"/>
      <c r="E14" s="8"/>
      <c r="F14" s="8">
        <v>150</v>
      </c>
      <c r="G14" s="8" t="s">
        <v>106</v>
      </c>
      <c r="H14" s="2"/>
      <c r="I14" s="2"/>
      <c r="J14" s="2"/>
      <c r="K14" s="2"/>
      <c r="L14" s="2"/>
      <c r="M14" s="2"/>
    </row>
    <row r="15" spans="1:17" ht="18" x14ac:dyDescent="0.25">
      <c r="A15" s="8">
        <v>10</v>
      </c>
      <c r="B15" s="8">
        <v>10</v>
      </c>
      <c r="C15" s="51">
        <v>46371</v>
      </c>
      <c r="D15" s="33"/>
      <c r="E15" s="8"/>
      <c r="F15" s="8">
        <v>150</v>
      </c>
      <c r="G15" s="8" t="s">
        <v>107</v>
      </c>
      <c r="H15" s="2"/>
      <c r="I15" s="2"/>
      <c r="J15" s="2"/>
      <c r="K15" s="2"/>
      <c r="L15" s="2"/>
      <c r="M15" s="2"/>
    </row>
    <row r="16" spans="1:17" ht="18" x14ac:dyDescent="0.25">
      <c r="A16" s="8">
        <v>11</v>
      </c>
      <c r="B16" s="8">
        <v>11</v>
      </c>
      <c r="C16" s="51">
        <v>46371</v>
      </c>
      <c r="D16" s="33"/>
      <c r="E16" s="8"/>
      <c r="F16" s="8">
        <v>150</v>
      </c>
      <c r="G16" s="8" t="s">
        <v>108</v>
      </c>
      <c r="H16" s="2"/>
      <c r="I16" s="2"/>
      <c r="J16" s="2"/>
      <c r="K16" s="2"/>
      <c r="L16" s="2"/>
      <c r="M16" s="2"/>
    </row>
    <row r="17" spans="1:17" ht="18" x14ac:dyDescent="0.25">
      <c r="A17" s="8">
        <v>12</v>
      </c>
      <c r="B17" s="8">
        <v>12</v>
      </c>
      <c r="C17" s="51">
        <v>46371</v>
      </c>
      <c r="D17" s="33"/>
      <c r="E17" s="8"/>
      <c r="F17" s="8">
        <v>150</v>
      </c>
      <c r="G17" s="8" t="s">
        <v>109</v>
      </c>
      <c r="H17" s="2"/>
      <c r="I17" s="2"/>
      <c r="J17" s="2"/>
      <c r="K17" s="2"/>
      <c r="L17" s="2"/>
      <c r="M17" s="2"/>
    </row>
    <row r="18" spans="1:17" ht="18" x14ac:dyDescent="0.25">
      <c r="A18" s="8"/>
      <c r="B18" s="8"/>
      <c r="C18" s="51"/>
      <c r="D18" s="33"/>
      <c r="E18" s="8"/>
      <c r="F18" s="8"/>
      <c r="G18" s="8"/>
      <c r="H18" s="2"/>
      <c r="I18" s="2"/>
      <c r="J18" s="2"/>
      <c r="K18" s="2"/>
      <c r="L18" s="2"/>
      <c r="M18" s="2"/>
    </row>
    <row r="19" spans="1:17" ht="18" x14ac:dyDescent="0.25">
      <c r="A19" s="8"/>
      <c r="B19" s="8"/>
      <c r="C19" s="51"/>
      <c r="D19" s="33"/>
      <c r="E19" s="8"/>
      <c r="F19" s="8"/>
      <c r="G19" s="8"/>
      <c r="H19" s="2"/>
      <c r="I19" s="2"/>
      <c r="J19" s="2"/>
      <c r="K19" s="2"/>
      <c r="L19" s="2"/>
      <c r="M19" s="2"/>
    </row>
    <row r="20" spans="1:17" ht="23.25" x14ac:dyDescent="0.35">
      <c r="A20" s="8"/>
      <c r="B20" s="8"/>
      <c r="C20" s="51"/>
      <c r="D20" s="33"/>
      <c r="E20" s="8"/>
      <c r="F20" s="8"/>
      <c r="G20" s="8"/>
      <c r="H20" s="2"/>
      <c r="I20" s="104" t="s">
        <v>118</v>
      </c>
      <c r="J20" s="104"/>
      <c r="K20" s="104"/>
      <c r="L20" s="104"/>
      <c r="M20" s="104"/>
      <c r="N20" s="104"/>
    </row>
    <row r="21" spans="1:17" ht="23.25" x14ac:dyDescent="0.35">
      <c r="A21" s="8"/>
      <c r="B21" s="8"/>
      <c r="C21" s="51"/>
      <c r="D21" s="33"/>
      <c r="E21" s="8"/>
      <c r="F21" s="8"/>
      <c r="G21" s="8"/>
      <c r="H21" s="2"/>
      <c r="I21" s="104" t="s">
        <v>238</v>
      </c>
      <c r="J21" s="104"/>
      <c r="K21" s="104"/>
      <c r="L21" s="104"/>
      <c r="M21" s="104"/>
      <c r="N21" s="104"/>
    </row>
    <row r="22" spans="1:17" ht="18" x14ac:dyDescent="0.25">
      <c r="A22" s="8"/>
      <c r="B22" s="8"/>
      <c r="C22" s="51"/>
      <c r="D22" s="33"/>
      <c r="E22" s="8"/>
      <c r="F22" s="8"/>
      <c r="G22" s="22" t="s">
        <v>7</v>
      </c>
      <c r="H22" s="36" t="s">
        <v>33</v>
      </c>
      <c r="I22" s="36" t="s">
        <v>95</v>
      </c>
      <c r="J22" s="36" t="s">
        <v>4</v>
      </c>
      <c r="K22" s="36"/>
      <c r="L22" s="36"/>
      <c r="M22" s="36"/>
      <c r="N22" s="37"/>
      <c r="O22" s="37"/>
      <c r="P22" s="37"/>
    </row>
    <row r="23" spans="1:17" ht="36.75" customHeight="1" x14ac:dyDescent="0.25">
      <c r="A23" s="8"/>
      <c r="B23" s="8"/>
      <c r="C23" s="51"/>
      <c r="D23" s="33"/>
      <c r="E23" s="8"/>
      <c r="F23" s="8"/>
      <c r="G23" s="48"/>
      <c r="H23" s="48"/>
      <c r="I23" s="48"/>
      <c r="J23" s="105"/>
      <c r="K23" s="105"/>
      <c r="L23" s="105"/>
      <c r="M23" s="105"/>
      <c r="N23" s="105"/>
      <c r="O23" s="105"/>
      <c r="P23" s="105"/>
    </row>
    <row r="24" spans="1:17" ht="18" x14ac:dyDescent="0.25">
      <c r="A24" s="8"/>
      <c r="B24" s="8"/>
      <c r="C24" s="51"/>
      <c r="D24" s="33"/>
      <c r="E24" s="8"/>
      <c r="F24" s="8"/>
      <c r="G24" s="8">
        <v>1</v>
      </c>
      <c r="H24" s="8"/>
      <c r="I24" s="8"/>
      <c r="J24" s="105"/>
      <c r="K24" s="105"/>
      <c r="L24" s="105"/>
      <c r="M24" s="105"/>
      <c r="N24" s="105"/>
      <c r="O24" s="105"/>
      <c r="P24" s="105"/>
    </row>
    <row r="25" spans="1:17" ht="36" customHeight="1" x14ac:dyDescent="0.25">
      <c r="A25" s="8"/>
      <c r="B25" s="8"/>
      <c r="C25" s="51"/>
      <c r="D25" s="33"/>
      <c r="E25" s="8"/>
      <c r="F25" s="8"/>
      <c r="G25" s="48">
        <v>2</v>
      </c>
      <c r="H25" s="48"/>
      <c r="I25" s="48"/>
      <c r="J25" s="105"/>
      <c r="K25" s="105"/>
      <c r="L25" s="105"/>
      <c r="M25" s="105"/>
      <c r="N25" s="105"/>
      <c r="O25" s="105"/>
      <c r="P25" s="105"/>
    </row>
    <row r="26" spans="1:17" ht="23.25" x14ac:dyDescent="0.35">
      <c r="A26" s="8"/>
      <c r="B26" s="8"/>
      <c r="C26" s="51"/>
      <c r="D26" s="33"/>
      <c r="E26" s="8"/>
      <c r="F26" s="8"/>
      <c r="G26" s="46" t="s">
        <v>31</v>
      </c>
      <c r="H26" s="46"/>
      <c r="I26" s="47">
        <f>SUM(I23:I25)</f>
        <v>0</v>
      </c>
      <c r="J26" s="46" t="s">
        <v>96</v>
      </c>
      <c r="K26" s="36"/>
      <c r="L26" s="36"/>
      <c r="M26" s="36"/>
      <c r="N26" s="37"/>
      <c r="O26" s="37"/>
      <c r="P26" s="37"/>
      <c r="Q26" t="s">
        <v>143</v>
      </c>
    </row>
    <row r="27" spans="1:17" ht="18" x14ac:dyDescent="0.25">
      <c r="A27" s="8"/>
      <c r="B27" s="8"/>
      <c r="C27" s="51"/>
      <c r="D27" s="33"/>
      <c r="E27" s="8"/>
      <c r="F27" s="8"/>
      <c r="G27" s="8"/>
      <c r="H27" s="2"/>
      <c r="I27" s="2"/>
      <c r="J27" s="2"/>
      <c r="K27" s="2"/>
      <c r="L27" s="2"/>
      <c r="M27" s="2"/>
    </row>
    <row r="28" spans="1:17" ht="18" x14ac:dyDescent="0.25">
      <c r="A28" s="8"/>
      <c r="B28" s="8"/>
      <c r="C28" s="51"/>
      <c r="D28" s="33"/>
      <c r="E28" s="8"/>
      <c r="F28" s="8"/>
      <c r="G28" s="8"/>
      <c r="H28" s="2"/>
      <c r="I28" s="2"/>
      <c r="J28" s="2"/>
      <c r="K28" s="2"/>
      <c r="L28" s="2"/>
      <c r="M28" s="2"/>
    </row>
    <row r="29" spans="1:17" ht="18" x14ac:dyDescent="0.25">
      <c r="A29" s="8"/>
      <c r="B29" s="8"/>
      <c r="C29" s="51"/>
      <c r="D29" s="33"/>
      <c r="E29" s="8"/>
      <c r="F29" s="8"/>
      <c r="G29" s="8"/>
      <c r="H29" s="2"/>
      <c r="I29" s="2"/>
      <c r="J29" s="2"/>
      <c r="K29" s="2"/>
      <c r="L29" s="2"/>
      <c r="M29" s="2"/>
    </row>
    <row r="30" spans="1:17" ht="18" x14ac:dyDescent="0.25">
      <c r="A30" s="8"/>
      <c r="B30" s="8"/>
      <c r="C30" s="51"/>
      <c r="D30" s="33"/>
      <c r="E30" s="8"/>
      <c r="F30" s="8"/>
      <c r="G30" s="8"/>
      <c r="H30" s="2"/>
      <c r="I30" s="2"/>
      <c r="J30" s="2"/>
      <c r="K30" s="2"/>
      <c r="L30" s="2"/>
      <c r="M30" s="2"/>
    </row>
    <row r="31" spans="1:17" ht="18" x14ac:dyDescent="0.25">
      <c r="A31" s="8"/>
      <c r="B31" s="8"/>
      <c r="C31" s="51"/>
      <c r="D31" s="33"/>
      <c r="E31" s="8"/>
      <c r="F31" s="8"/>
      <c r="G31" s="8"/>
      <c r="H31" s="2"/>
      <c r="I31" s="2"/>
      <c r="J31" s="2"/>
      <c r="K31" s="2"/>
      <c r="L31" s="2"/>
      <c r="M31" s="2"/>
    </row>
    <row r="32" spans="1:17" ht="18" x14ac:dyDescent="0.25">
      <c r="A32" s="8"/>
      <c r="B32" s="8"/>
      <c r="C32" s="51"/>
      <c r="D32" s="33"/>
      <c r="E32" s="8"/>
      <c r="F32" s="8"/>
      <c r="G32" s="8"/>
      <c r="H32" s="2"/>
      <c r="I32" s="2"/>
      <c r="J32" s="2"/>
      <c r="K32" s="2"/>
      <c r="L32" s="2"/>
      <c r="M32" s="2"/>
    </row>
    <row r="33" spans="1:13" ht="18" x14ac:dyDescent="0.25">
      <c r="A33" s="8"/>
      <c r="B33" s="8"/>
      <c r="C33" s="51"/>
      <c r="D33" s="33"/>
      <c r="E33" s="8"/>
      <c r="F33" s="8"/>
      <c r="G33" s="8"/>
      <c r="H33" s="2"/>
      <c r="I33" s="2"/>
      <c r="J33" s="2"/>
      <c r="K33" s="2"/>
      <c r="L33" s="2"/>
      <c r="M33" s="2"/>
    </row>
    <row r="34" spans="1:13" ht="18" x14ac:dyDescent="0.25">
      <c r="A34" s="8"/>
      <c r="B34" s="8"/>
      <c r="C34" s="51"/>
      <c r="D34" s="33"/>
      <c r="E34" s="8"/>
      <c r="F34" s="8"/>
      <c r="G34" s="8"/>
      <c r="H34" s="2"/>
      <c r="I34" s="2"/>
      <c r="J34" s="2"/>
      <c r="K34" s="2"/>
      <c r="L34" s="2"/>
      <c r="M34" s="2"/>
    </row>
  </sheetData>
  <mergeCells count="6">
    <mergeCell ref="C2:Q2"/>
    <mergeCell ref="I20:N20"/>
    <mergeCell ref="J23:P23"/>
    <mergeCell ref="J25:P25"/>
    <mergeCell ref="J24:P24"/>
    <mergeCell ref="I21:N21"/>
  </mergeCells>
  <pageMargins left="0.7" right="0.7" top="0.75" bottom="0.75" header="0.3" footer="0.3"/>
  <pageSetup paperSize="9" orientation="landscape"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Q34"/>
  <sheetViews>
    <sheetView rightToLeft="1" topLeftCell="B1" workbookViewId="0">
      <selection activeCell="C10" sqref="C10:C12"/>
    </sheetView>
  </sheetViews>
  <sheetFormatPr defaultRowHeight="14.25" x14ac:dyDescent="0.2"/>
  <cols>
    <col min="1" max="2" width="4.375" style="3" customWidth="1"/>
    <col min="3" max="3" width="14.875" style="7" bestFit="1" customWidth="1"/>
    <col min="4" max="4" width="8.25" style="3" bestFit="1" customWidth="1"/>
    <col min="5" max="5" width="24.75" style="3" bestFit="1" customWidth="1"/>
    <col min="6" max="6" width="9.75" style="3" customWidth="1"/>
    <col min="7" max="7" width="9" style="3"/>
  </cols>
  <sheetData>
    <row r="2" spans="1:17" ht="26.25" x14ac:dyDescent="0.4">
      <c r="C2" s="99" t="s">
        <v>22</v>
      </c>
      <c r="D2" s="99"/>
      <c r="E2" s="99"/>
      <c r="F2" s="99"/>
      <c r="G2" s="99"/>
      <c r="H2" s="99"/>
      <c r="I2" s="99"/>
      <c r="J2" s="99"/>
      <c r="K2" s="99"/>
      <c r="L2" s="99"/>
      <c r="M2" s="99"/>
      <c r="N2" s="99"/>
      <c r="O2" s="99"/>
      <c r="P2" s="99"/>
      <c r="Q2" s="99"/>
    </row>
    <row r="3" spans="1:17" ht="56.25" x14ac:dyDescent="0.4">
      <c r="C3" s="1"/>
      <c r="D3" s="18" t="s">
        <v>8</v>
      </c>
      <c r="E3" s="18"/>
      <c r="F3" s="18" t="s">
        <v>18</v>
      </c>
      <c r="G3" s="1"/>
      <c r="H3" s="1"/>
      <c r="I3" s="1"/>
      <c r="J3" s="1"/>
      <c r="K3" s="1"/>
      <c r="L3" s="1"/>
      <c r="M3" s="1"/>
      <c r="N3" s="1"/>
      <c r="O3" s="1"/>
      <c r="P3" s="1"/>
      <c r="Q3" s="1"/>
    </row>
    <row r="4" spans="1:17" ht="18" x14ac:dyDescent="0.25">
      <c r="C4" s="10"/>
      <c r="D4" s="89">
        <f>SUM(D6:D2001)</f>
        <v>1050</v>
      </c>
      <c r="E4" s="11"/>
      <c r="F4" s="11">
        <f>SUM(F6:F2001)</f>
        <v>1800</v>
      </c>
    </row>
    <row r="5" spans="1:17" ht="36" x14ac:dyDescent="0.2">
      <c r="A5" s="4" t="s">
        <v>7</v>
      </c>
      <c r="B5" s="4" t="s">
        <v>17</v>
      </c>
      <c r="C5" s="6" t="s">
        <v>1</v>
      </c>
      <c r="D5" s="4" t="s">
        <v>2</v>
      </c>
      <c r="E5" s="4" t="s">
        <v>4</v>
      </c>
      <c r="F5" s="4" t="s">
        <v>19</v>
      </c>
      <c r="G5" s="4" t="s">
        <v>4</v>
      </c>
      <c r="H5" s="5"/>
      <c r="I5" s="5"/>
      <c r="J5" s="5"/>
      <c r="K5" s="5"/>
      <c r="L5" s="5"/>
      <c r="M5" s="5"/>
    </row>
    <row r="6" spans="1:17" ht="18" x14ac:dyDescent="0.25">
      <c r="A6" s="8">
        <v>1</v>
      </c>
      <c r="B6" s="8">
        <v>1</v>
      </c>
      <c r="C6" s="9">
        <v>46092</v>
      </c>
      <c r="D6" s="90">
        <v>150</v>
      </c>
      <c r="E6" s="8"/>
      <c r="F6" s="8">
        <v>150</v>
      </c>
      <c r="G6" s="8" t="s">
        <v>239</v>
      </c>
      <c r="H6" s="2"/>
      <c r="I6" s="2"/>
      <c r="J6" s="2"/>
      <c r="K6" s="2"/>
      <c r="L6" s="2"/>
      <c r="M6" s="2"/>
    </row>
    <row r="7" spans="1:17" ht="18" x14ac:dyDescent="0.25">
      <c r="A7" s="8">
        <v>2</v>
      </c>
      <c r="B7" s="8">
        <v>2</v>
      </c>
      <c r="C7" s="9">
        <v>46092</v>
      </c>
      <c r="D7" s="90">
        <v>150</v>
      </c>
      <c r="E7" s="8"/>
      <c r="F7" s="8">
        <v>150</v>
      </c>
      <c r="G7" s="8" t="s">
        <v>240</v>
      </c>
      <c r="H7" s="2"/>
      <c r="I7" s="2"/>
      <c r="J7" s="2"/>
      <c r="K7" s="2"/>
      <c r="L7" s="2"/>
      <c r="M7" s="2"/>
    </row>
    <row r="8" spans="1:17" ht="18" x14ac:dyDescent="0.25">
      <c r="A8" s="8">
        <v>3</v>
      </c>
      <c r="B8" s="8">
        <v>3</v>
      </c>
      <c r="C8" s="9">
        <v>46092</v>
      </c>
      <c r="D8" s="90">
        <v>150</v>
      </c>
      <c r="E8" s="8"/>
      <c r="F8" s="8">
        <v>150</v>
      </c>
      <c r="G8" s="8" t="s">
        <v>100</v>
      </c>
      <c r="H8" s="2"/>
      <c r="I8" s="2"/>
      <c r="J8" s="2"/>
      <c r="K8" s="2"/>
      <c r="L8" s="2"/>
      <c r="M8" s="2"/>
    </row>
    <row r="9" spans="1:17" ht="18" x14ac:dyDescent="0.25">
      <c r="A9" s="8">
        <v>4</v>
      </c>
      <c r="B9" s="8">
        <v>4</v>
      </c>
      <c r="C9" s="9">
        <v>46225</v>
      </c>
      <c r="D9" s="90">
        <v>150</v>
      </c>
      <c r="E9" s="8"/>
      <c r="F9" s="8">
        <v>150</v>
      </c>
      <c r="G9" s="8" t="s">
        <v>101</v>
      </c>
      <c r="H9" s="2"/>
      <c r="I9" s="2"/>
      <c r="J9" s="2"/>
      <c r="K9" s="2"/>
      <c r="L9" s="2"/>
      <c r="M9" s="2"/>
    </row>
    <row r="10" spans="1:17" ht="18" x14ac:dyDescent="0.25">
      <c r="A10" s="8">
        <v>5</v>
      </c>
      <c r="B10" s="8">
        <v>5</v>
      </c>
      <c r="C10" s="9">
        <v>46225</v>
      </c>
      <c r="D10" s="90">
        <v>150</v>
      </c>
      <c r="E10" s="8"/>
      <c r="F10" s="8">
        <v>150</v>
      </c>
      <c r="G10" s="8" t="s">
        <v>102</v>
      </c>
      <c r="H10" s="2"/>
      <c r="I10" s="2"/>
      <c r="J10" s="2"/>
      <c r="K10" s="2"/>
      <c r="L10" s="2"/>
      <c r="M10" s="2"/>
    </row>
    <row r="11" spans="1:17" ht="18" x14ac:dyDescent="0.25">
      <c r="A11" s="8">
        <v>6</v>
      </c>
      <c r="B11" s="8">
        <v>6</v>
      </c>
      <c r="C11" s="9">
        <v>46225</v>
      </c>
      <c r="D11" s="90">
        <v>150</v>
      </c>
      <c r="E11" s="8"/>
      <c r="F11" s="8">
        <v>150</v>
      </c>
      <c r="G11" s="8" t="s">
        <v>103</v>
      </c>
      <c r="H11" s="2"/>
      <c r="I11" s="2"/>
      <c r="J11" s="2"/>
      <c r="K11" s="2"/>
      <c r="L11" s="2"/>
      <c r="M11" s="2"/>
    </row>
    <row r="12" spans="1:17" ht="18" x14ac:dyDescent="0.25">
      <c r="A12" s="8">
        <v>7</v>
      </c>
      <c r="B12" s="8">
        <v>7</v>
      </c>
      <c r="C12" s="9">
        <v>46225</v>
      </c>
      <c r="D12" s="90">
        <v>150</v>
      </c>
      <c r="E12" s="8"/>
      <c r="F12" s="8">
        <v>150</v>
      </c>
      <c r="G12" s="8" t="s">
        <v>104</v>
      </c>
      <c r="H12" s="2"/>
      <c r="I12" s="2"/>
      <c r="J12" s="2"/>
      <c r="K12" s="2"/>
      <c r="L12" s="2"/>
      <c r="M12" s="2"/>
    </row>
    <row r="13" spans="1:17" ht="18" x14ac:dyDescent="0.25">
      <c r="A13" s="8">
        <v>8</v>
      </c>
      <c r="B13" s="8">
        <v>8</v>
      </c>
      <c r="C13" s="9">
        <v>46372</v>
      </c>
      <c r="D13" s="90"/>
      <c r="E13" s="8"/>
      <c r="F13" s="8">
        <v>150</v>
      </c>
      <c r="G13" s="8" t="s">
        <v>105</v>
      </c>
      <c r="H13" s="2"/>
      <c r="I13" s="2"/>
      <c r="J13" s="2"/>
      <c r="K13" s="2"/>
      <c r="L13" s="2"/>
      <c r="M13" s="2"/>
    </row>
    <row r="14" spans="1:17" ht="18" x14ac:dyDescent="0.25">
      <c r="A14" s="8">
        <v>9</v>
      </c>
      <c r="B14" s="8">
        <v>9</v>
      </c>
      <c r="C14" s="9">
        <v>46372</v>
      </c>
      <c r="D14" s="90"/>
      <c r="E14" s="8"/>
      <c r="F14" s="8">
        <v>150</v>
      </c>
      <c r="G14" s="8" t="s">
        <v>106</v>
      </c>
      <c r="H14" s="2"/>
      <c r="I14" s="2"/>
      <c r="J14" s="2"/>
      <c r="K14" s="2"/>
      <c r="L14" s="2"/>
      <c r="M14" s="2"/>
    </row>
    <row r="15" spans="1:17" ht="18" x14ac:dyDescent="0.25">
      <c r="A15" s="8">
        <v>10</v>
      </c>
      <c r="B15" s="8">
        <v>10</v>
      </c>
      <c r="C15" s="9">
        <v>46372</v>
      </c>
      <c r="D15" s="90"/>
      <c r="E15" s="8"/>
      <c r="F15" s="8">
        <v>150</v>
      </c>
      <c r="G15" s="8" t="s">
        <v>107</v>
      </c>
      <c r="H15" s="2"/>
      <c r="I15" s="2"/>
      <c r="J15" s="2"/>
      <c r="K15" s="2"/>
      <c r="L15" s="2"/>
      <c r="M15" s="2"/>
    </row>
    <row r="16" spans="1:17" ht="18" x14ac:dyDescent="0.25">
      <c r="A16" s="8">
        <v>11</v>
      </c>
      <c r="B16" s="8">
        <v>11</v>
      </c>
      <c r="C16" s="9">
        <v>46372</v>
      </c>
      <c r="D16" s="90"/>
      <c r="E16" s="8"/>
      <c r="F16" s="8">
        <v>150</v>
      </c>
      <c r="G16" s="8" t="s">
        <v>108</v>
      </c>
      <c r="H16" s="2"/>
      <c r="I16" s="2"/>
      <c r="J16" s="2"/>
      <c r="K16" s="2"/>
      <c r="L16" s="2"/>
      <c r="M16" s="2"/>
    </row>
    <row r="17" spans="1:13" ht="18" x14ac:dyDescent="0.25">
      <c r="A17" s="8">
        <v>12</v>
      </c>
      <c r="B17" s="8">
        <v>12</v>
      </c>
      <c r="C17" s="9">
        <v>46372</v>
      </c>
      <c r="D17" s="90"/>
      <c r="E17" s="8"/>
      <c r="F17" s="8">
        <v>150</v>
      </c>
      <c r="G17" s="8" t="s">
        <v>109</v>
      </c>
      <c r="H17" s="2"/>
      <c r="I17" s="2"/>
      <c r="J17" s="2"/>
      <c r="K17" s="2"/>
      <c r="L17" s="2"/>
      <c r="M17" s="2"/>
    </row>
    <row r="18" spans="1:13" ht="18" x14ac:dyDescent="0.25">
      <c r="A18" s="8"/>
      <c r="B18" s="8"/>
      <c r="C18" s="9"/>
      <c r="D18" s="8"/>
      <c r="E18" s="8"/>
      <c r="F18" s="8"/>
      <c r="G18" s="8"/>
      <c r="H18" s="2"/>
      <c r="I18" s="2"/>
      <c r="J18" s="2"/>
      <c r="K18" s="2"/>
      <c r="L18" s="2"/>
      <c r="M18" s="2"/>
    </row>
    <row r="19" spans="1:13" ht="18" x14ac:dyDescent="0.25">
      <c r="A19" s="8"/>
      <c r="B19" s="8"/>
      <c r="C19" s="9"/>
      <c r="D19" s="8"/>
      <c r="E19" s="8"/>
      <c r="F19" s="8"/>
      <c r="G19" s="8"/>
      <c r="H19" s="2"/>
      <c r="I19" s="2"/>
      <c r="J19" s="2"/>
      <c r="K19" s="2"/>
      <c r="L19" s="2"/>
      <c r="M19" s="2"/>
    </row>
    <row r="20" spans="1:13" ht="18" x14ac:dyDescent="0.25">
      <c r="A20" s="8"/>
      <c r="B20" s="8"/>
      <c r="C20" s="9"/>
      <c r="D20" s="8"/>
      <c r="E20" s="8"/>
      <c r="F20" s="8"/>
      <c r="G20" s="8"/>
      <c r="H20" s="2"/>
      <c r="I20" s="2"/>
      <c r="J20" s="2"/>
      <c r="K20" s="2"/>
      <c r="L20" s="2"/>
      <c r="M20" s="2"/>
    </row>
    <row r="21" spans="1:13" ht="18" x14ac:dyDescent="0.25">
      <c r="A21" s="8"/>
      <c r="B21" s="8"/>
      <c r="C21" s="9"/>
      <c r="D21" s="8"/>
      <c r="E21" s="8"/>
      <c r="F21" s="8"/>
      <c r="G21" s="8"/>
      <c r="H21" s="2"/>
      <c r="I21" s="2"/>
      <c r="J21" s="2"/>
      <c r="K21" s="2"/>
      <c r="L21" s="2"/>
      <c r="M21" s="2"/>
    </row>
    <row r="22" spans="1:13" ht="18" x14ac:dyDescent="0.25">
      <c r="A22" s="8"/>
      <c r="B22" s="8"/>
      <c r="C22" s="9"/>
      <c r="D22" s="8"/>
      <c r="E22" s="8"/>
      <c r="F22" s="8"/>
      <c r="G22" s="8"/>
      <c r="H22" s="2"/>
      <c r="I22" s="2"/>
      <c r="J22" s="2"/>
      <c r="K22" s="2"/>
      <c r="L22" s="2"/>
      <c r="M22" s="2"/>
    </row>
    <row r="23" spans="1:13" ht="18" x14ac:dyDescent="0.25">
      <c r="A23" s="8"/>
      <c r="B23" s="8"/>
      <c r="C23" s="9"/>
      <c r="D23" s="8"/>
      <c r="E23" s="8"/>
      <c r="F23" s="8"/>
      <c r="G23" s="8"/>
      <c r="H23" s="2"/>
      <c r="I23" s="2"/>
      <c r="J23" s="2"/>
      <c r="K23" s="2"/>
      <c r="L23" s="2"/>
      <c r="M23" s="2"/>
    </row>
    <row r="24" spans="1:13" ht="18" x14ac:dyDescent="0.25">
      <c r="A24" s="8"/>
      <c r="B24" s="8"/>
      <c r="C24" s="9"/>
      <c r="D24" s="8"/>
      <c r="E24" s="8"/>
      <c r="F24" s="8"/>
      <c r="G24" s="8"/>
      <c r="H24" s="2"/>
      <c r="I24" s="2"/>
      <c r="J24" s="2"/>
      <c r="K24" s="2"/>
      <c r="L24" s="2"/>
      <c r="M24" s="2"/>
    </row>
    <row r="25" spans="1:13" ht="18" x14ac:dyDescent="0.25">
      <c r="A25" s="8"/>
      <c r="B25" s="8"/>
      <c r="C25" s="9"/>
      <c r="D25" s="8"/>
      <c r="E25" s="8"/>
      <c r="F25" s="8"/>
      <c r="G25" s="8"/>
      <c r="H25" s="2"/>
      <c r="I25" s="2"/>
      <c r="J25" s="2"/>
      <c r="K25" s="2"/>
      <c r="L25" s="2"/>
      <c r="M25" s="2"/>
    </row>
    <row r="26" spans="1:13" ht="18" x14ac:dyDescent="0.25">
      <c r="A26" s="8"/>
      <c r="B26" s="8"/>
      <c r="C26" s="9"/>
      <c r="D26" s="8"/>
      <c r="E26" s="8"/>
      <c r="F26" s="8"/>
      <c r="G26" s="8"/>
      <c r="H26" s="2"/>
      <c r="I26" s="2"/>
      <c r="J26" s="2"/>
      <c r="K26" s="2"/>
      <c r="L26" s="2"/>
      <c r="M26" s="2"/>
    </row>
    <row r="27" spans="1:13" ht="18" x14ac:dyDescent="0.25">
      <c r="A27" s="8"/>
      <c r="B27" s="8"/>
      <c r="C27" s="9"/>
      <c r="D27" s="8"/>
      <c r="E27" s="8"/>
      <c r="F27" s="8"/>
      <c r="G27" s="8"/>
      <c r="H27" s="2"/>
      <c r="I27" s="2"/>
      <c r="J27" s="2"/>
      <c r="K27" s="2"/>
      <c r="L27" s="2"/>
      <c r="M27" s="2"/>
    </row>
    <row r="28" spans="1:13" ht="18" x14ac:dyDescent="0.25">
      <c r="A28" s="8"/>
      <c r="B28" s="8"/>
      <c r="C28" s="9"/>
      <c r="D28" s="8"/>
      <c r="E28" s="8"/>
      <c r="F28" s="8"/>
      <c r="G28" s="8"/>
      <c r="H28" s="2"/>
      <c r="I28" s="2"/>
      <c r="J28" s="2"/>
      <c r="K28" s="2"/>
      <c r="L28" s="2"/>
      <c r="M28" s="2"/>
    </row>
    <row r="29" spans="1:13" ht="18" x14ac:dyDescent="0.25">
      <c r="A29" s="8"/>
      <c r="B29" s="8"/>
      <c r="C29" s="9"/>
      <c r="D29" s="8"/>
      <c r="E29" s="8"/>
      <c r="F29" s="8"/>
      <c r="G29" s="8"/>
      <c r="H29" s="2"/>
      <c r="I29" s="2"/>
      <c r="J29" s="2"/>
      <c r="K29" s="2"/>
      <c r="L29" s="2"/>
      <c r="M29" s="2"/>
    </row>
    <row r="30" spans="1:13" ht="18" x14ac:dyDescent="0.25">
      <c r="A30" s="8"/>
      <c r="B30" s="8"/>
      <c r="C30" s="9"/>
      <c r="D30" s="8"/>
      <c r="E30" s="8"/>
      <c r="F30" s="8"/>
      <c r="G30" s="8"/>
      <c r="H30" s="2"/>
      <c r="I30" s="2"/>
      <c r="J30" s="2"/>
      <c r="K30" s="2"/>
      <c r="L30" s="2"/>
      <c r="M30" s="2"/>
    </row>
    <row r="31" spans="1:13" ht="18" x14ac:dyDescent="0.25">
      <c r="A31" s="8"/>
      <c r="B31" s="8"/>
      <c r="C31" s="9"/>
      <c r="D31" s="8"/>
      <c r="E31" s="8"/>
      <c r="F31" s="8"/>
      <c r="G31" s="8"/>
      <c r="H31" s="2"/>
      <c r="I31" s="2"/>
      <c r="J31" s="2"/>
      <c r="K31" s="2"/>
      <c r="L31" s="2"/>
      <c r="M31" s="2"/>
    </row>
    <row r="32" spans="1:13" ht="18" x14ac:dyDescent="0.25">
      <c r="A32" s="8"/>
      <c r="B32" s="8"/>
      <c r="C32" s="9"/>
      <c r="D32" s="8"/>
      <c r="E32" s="8"/>
      <c r="F32" s="8"/>
      <c r="G32" s="8"/>
      <c r="H32" s="2"/>
      <c r="I32" s="2"/>
      <c r="J32" s="2"/>
      <c r="K32" s="2"/>
      <c r="L32" s="2"/>
      <c r="M32" s="2"/>
    </row>
    <row r="33" spans="1:13" ht="18" x14ac:dyDescent="0.25">
      <c r="A33" s="8"/>
      <c r="B33" s="8"/>
      <c r="C33" s="9"/>
      <c r="D33" s="8"/>
      <c r="E33" s="8"/>
      <c r="F33" s="8"/>
      <c r="G33" s="8"/>
      <c r="H33" s="2"/>
      <c r="I33" s="2"/>
      <c r="J33" s="2"/>
      <c r="K33" s="2"/>
      <c r="L33" s="2"/>
      <c r="M33" s="2"/>
    </row>
    <row r="34" spans="1:13" ht="18" x14ac:dyDescent="0.25">
      <c r="A34" s="8"/>
      <c r="B34" s="8"/>
      <c r="C34" s="9"/>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Q34"/>
  <sheetViews>
    <sheetView rightToLeft="1" topLeftCell="C1" workbookViewId="0">
      <selection activeCell="Q9" sqref="Q9"/>
    </sheetView>
  </sheetViews>
  <sheetFormatPr defaultRowHeight="14.25" x14ac:dyDescent="0.2"/>
  <cols>
    <col min="1" max="1" width="4.375" style="3" customWidth="1"/>
    <col min="2" max="2" width="4.125" style="3" bestFit="1" customWidth="1"/>
    <col min="3" max="3" width="14.875" style="64" bestFit="1" customWidth="1"/>
    <col min="4" max="4" width="8.25" style="66" bestFit="1" customWidth="1"/>
    <col min="5" max="5" width="24.75" style="3" bestFit="1" customWidth="1"/>
    <col min="6" max="6" width="9.75" style="3" customWidth="1"/>
    <col min="7" max="7" width="9" style="3"/>
  </cols>
  <sheetData>
    <row r="2" spans="1:17" ht="26.25" x14ac:dyDescent="0.4">
      <c r="C2" s="99" t="s">
        <v>23</v>
      </c>
      <c r="D2" s="99"/>
      <c r="E2" s="99"/>
      <c r="F2" s="99"/>
      <c r="G2" s="99"/>
      <c r="H2" s="99"/>
      <c r="I2" s="99"/>
      <c r="J2" s="99"/>
      <c r="K2" s="99"/>
      <c r="L2" s="99"/>
      <c r="M2" s="99"/>
      <c r="N2" s="99"/>
      <c r="O2" s="99"/>
      <c r="P2" s="99"/>
      <c r="Q2" s="99"/>
    </row>
    <row r="3" spans="1:17" ht="56.25" x14ac:dyDescent="0.4">
      <c r="C3" s="1"/>
      <c r="D3" s="18" t="s">
        <v>8</v>
      </c>
      <c r="E3" s="18"/>
      <c r="F3" s="18" t="s">
        <v>18</v>
      </c>
      <c r="G3" s="1"/>
      <c r="H3" s="1"/>
      <c r="I3" s="1"/>
      <c r="J3" s="1"/>
      <c r="K3" s="1"/>
      <c r="L3" s="1"/>
      <c r="M3" s="1"/>
      <c r="N3" s="1"/>
      <c r="O3" s="1"/>
      <c r="P3" s="1"/>
      <c r="Q3" s="1"/>
    </row>
    <row r="4" spans="1:17" ht="18" x14ac:dyDescent="0.25">
      <c r="C4" s="62"/>
      <c r="D4" s="83">
        <f>SUM(D6:D2001)</f>
        <v>1800</v>
      </c>
      <c r="E4" s="11"/>
      <c r="F4" s="11">
        <f>SUM(F6:F2001)</f>
        <v>1800</v>
      </c>
    </row>
    <row r="5" spans="1:17" ht="36" x14ac:dyDescent="0.25">
      <c r="A5" s="4" t="s">
        <v>7</v>
      </c>
      <c r="B5" s="4" t="s">
        <v>17</v>
      </c>
      <c r="C5" s="65" t="s">
        <v>1</v>
      </c>
      <c r="D5" s="4" t="s">
        <v>2</v>
      </c>
      <c r="E5" s="4" t="s">
        <v>4</v>
      </c>
      <c r="F5" s="4" t="s">
        <v>19</v>
      </c>
      <c r="G5" s="4" t="s">
        <v>4</v>
      </c>
      <c r="H5" s="5"/>
      <c r="I5" s="5"/>
      <c r="J5" s="5"/>
      <c r="K5" s="5"/>
      <c r="L5" s="5"/>
      <c r="M5" s="5"/>
    </row>
    <row r="6" spans="1:17" ht="18" x14ac:dyDescent="0.25">
      <c r="A6" s="8">
        <v>1</v>
      </c>
      <c r="B6" s="8">
        <v>1</v>
      </c>
      <c r="C6" s="63">
        <v>45318</v>
      </c>
      <c r="D6" s="33">
        <v>150</v>
      </c>
      <c r="E6" s="8"/>
      <c r="F6" s="8">
        <v>150</v>
      </c>
      <c r="G6" s="8" t="s">
        <v>219</v>
      </c>
      <c r="H6" s="2"/>
      <c r="I6" s="2"/>
      <c r="J6" s="2"/>
      <c r="K6" s="2"/>
      <c r="L6" s="2"/>
      <c r="M6" s="2"/>
    </row>
    <row r="7" spans="1:17" ht="18" x14ac:dyDescent="0.25">
      <c r="A7" s="8">
        <v>2</v>
      </c>
      <c r="B7" s="8">
        <v>2</v>
      </c>
      <c r="C7" s="63">
        <v>45318</v>
      </c>
      <c r="D7" s="33">
        <v>150</v>
      </c>
      <c r="E7" s="8"/>
      <c r="F7" s="8">
        <v>150</v>
      </c>
      <c r="G7" s="8" t="s">
        <v>99</v>
      </c>
      <c r="H7" s="2"/>
      <c r="I7" s="2"/>
      <c r="J7" s="2"/>
      <c r="K7" s="2"/>
      <c r="L7" s="2"/>
      <c r="M7" s="2"/>
    </row>
    <row r="8" spans="1:17" ht="18" x14ac:dyDescent="0.25">
      <c r="A8" s="8">
        <v>3</v>
      </c>
      <c r="B8" s="8">
        <v>3</v>
      </c>
      <c r="C8" s="63">
        <v>45318</v>
      </c>
      <c r="D8" s="33">
        <v>150</v>
      </c>
      <c r="E8" s="8"/>
      <c r="F8" s="8">
        <v>150</v>
      </c>
      <c r="G8" s="8" t="s">
        <v>100</v>
      </c>
      <c r="H8" s="2"/>
      <c r="I8" s="2"/>
      <c r="J8" s="2"/>
      <c r="K8" s="2"/>
      <c r="L8" s="2"/>
      <c r="M8" s="2"/>
    </row>
    <row r="9" spans="1:17" ht="18" x14ac:dyDescent="0.25">
      <c r="A9" s="8">
        <v>4</v>
      </c>
      <c r="B9" s="8">
        <v>4</v>
      </c>
      <c r="C9" s="63">
        <v>45318</v>
      </c>
      <c r="D9" s="33">
        <v>150</v>
      </c>
      <c r="E9" s="8"/>
      <c r="F9" s="8">
        <v>150</v>
      </c>
      <c r="G9" s="8" t="s">
        <v>101</v>
      </c>
      <c r="H9" s="2"/>
      <c r="I9" s="2"/>
      <c r="J9" s="2"/>
      <c r="K9" s="2"/>
      <c r="L9" s="2"/>
      <c r="M9" s="2"/>
    </row>
    <row r="10" spans="1:17" ht="18" x14ac:dyDescent="0.25">
      <c r="A10" s="8">
        <v>5</v>
      </c>
      <c r="B10" s="8">
        <v>5</v>
      </c>
      <c r="C10" s="63">
        <v>45318</v>
      </c>
      <c r="D10" s="33">
        <v>150</v>
      </c>
      <c r="E10" s="8"/>
      <c r="F10" s="8">
        <v>150</v>
      </c>
      <c r="G10" s="8" t="s">
        <v>102</v>
      </c>
      <c r="H10" s="2"/>
      <c r="I10" s="2"/>
      <c r="J10" s="2"/>
      <c r="K10" s="2"/>
      <c r="L10" s="2"/>
      <c r="M10" s="2"/>
    </row>
    <row r="11" spans="1:17" ht="18" x14ac:dyDescent="0.25">
      <c r="A11" s="8">
        <v>6</v>
      </c>
      <c r="B11" s="8">
        <v>6</v>
      </c>
      <c r="C11" s="63">
        <v>45318</v>
      </c>
      <c r="D11" s="33">
        <v>150</v>
      </c>
      <c r="E11" s="8"/>
      <c r="F11" s="8">
        <v>150</v>
      </c>
      <c r="G11" s="8" t="s">
        <v>103</v>
      </c>
      <c r="H11" s="2"/>
      <c r="I11" s="2"/>
      <c r="J11" s="2"/>
      <c r="K11" s="2"/>
      <c r="L11" s="2"/>
      <c r="M11" s="2"/>
    </row>
    <row r="12" spans="1:17" ht="18" x14ac:dyDescent="0.25">
      <c r="A12" s="8">
        <v>7</v>
      </c>
      <c r="B12" s="8">
        <v>7</v>
      </c>
      <c r="C12" s="51">
        <v>45569</v>
      </c>
      <c r="D12" s="33">
        <v>150</v>
      </c>
      <c r="E12" s="8"/>
      <c r="F12" s="8">
        <v>150</v>
      </c>
      <c r="G12" s="8" t="s">
        <v>104</v>
      </c>
      <c r="H12" s="2"/>
      <c r="I12" s="2"/>
      <c r="J12" s="2"/>
      <c r="K12" s="2"/>
      <c r="L12" s="2"/>
      <c r="M12" s="2"/>
    </row>
    <row r="13" spans="1:17" ht="18" x14ac:dyDescent="0.25">
      <c r="A13" s="8">
        <v>8</v>
      </c>
      <c r="B13" s="8">
        <v>8</v>
      </c>
      <c r="C13" s="51">
        <v>45569</v>
      </c>
      <c r="D13" s="33">
        <v>150</v>
      </c>
      <c r="E13" s="8"/>
      <c r="F13" s="8">
        <v>150</v>
      </c>
      <c r="G13" s="8" t="s">
        <v>105</v>
      </c>
      <c r="H13" s="2"/>
      <c r="I13" s="2"/>
      <c r="J13" s="2"/>
      <c r="K13" s="2"/>
      <c r="L13" s="2"/>
      <c r="M13" s="2"/>
    </row>
    <row r="14" spans="1:17" ht="18" x14ac:dyDescent="0.25">
      <c r="A14" s="8">
        <v>9</v>
      </c>
      <c r="B14" s="8">
        <v>9</v>
      </c>
      <c r="C14" s="51">
        <v>45569</v>
      </c>
      <c r="D14" s="33">
        <v>150</v>
      </c>
      <c r="E14" s="8"/>
      <c r="F14" s="8">
        <v>150</v>
      </c>
      <c r="G14" s="8" t="s">
        <v>106</v>
      </c>
      <c r="H14" s="2"/>
      <c r="I14" s="2"/>
      <c r="J14" s="2"/>
      <c r="K14" s="2"/>
      <c r="L14" s="2"/>
      <c r="M14" s="2"/>
    </row>
    <row r="15" spans="1:17" ht="18" x14ac:dyDescent="0.25">
      <c r="A15" s="8">
        <v>10</v>
      </c>
      <c r="B15" s="8">
        <v>10</v>
      </c>
      <c r="C15" s="51">
        <v>45569</v>
      </c>
      <c r="D15" s="33">
        <v>150</v>
      </c>
      <c r="E15" s="8"/>
      <c r="F15" s="8">
        <v>150</v>
      </c>
      <c r="G15" s="8" t="s">
        <v>107</v>
      </c>
      <c r="H15" s="2"/>
      <c r="I15" s="2"/>
      <c r="J15" s="2"/>
      <c r="K15" s="2"/>
      <c r="L15" s="2"/>
      <c r="M15" s="2"/>
    </row>
    <row r="16" spans="1:17" ht="18" x14ac:dyDescent="0.25">
      <c r="A16" s="8">
        <v>11</v>
      </c>
      <c r="B16" s="8">
        <v>11</v>
      </c>
      <c r="C16" s="51">
        <v>45569</v>
      </c>
      <c r="D16" s="33">
        <v>150</v>
      </c>
      <c r="E16" s="8"/>
      <c r="F16" s="8">
        <v>150</v>
      </c>
      <c r="G16" s="8" t="s">
        <v>108</v>
      </c>
      <c r="H16" s="2"/>
      <c r="I16" s="2"/>
      <c r="J16" s="2"/>
      <c r="K16" s="2"/>
      <c r="L16" s="2"/>
      <c r="M16" s="2"/>
    </row>
    <row r="17" spans="1:13" ht="18" x14ac:dyDescent="0.25">
      <c r="A17" s="8">
        <v>12</v>
      </c>
      <c r="B17" s="8">
        <v>12</v>
      </c>
      <c r="C17" s="51">
        <v>45569</v>
      </c>
      <c r="D17" s="33">
        <v>150</v>
      </c>
      <c r="E17" s="8"/>
      <c r="F17" s="8">
        <v>150</v>
      </c>
      <c r="G17" s="8" t="s">
        <v>109</v>
      </c>
      <c r="H17" s="2"/>
      <c r="I17" s="2"/>
      <c r="J17" s="2"/>
      <c r="L17" s="2"/>
      <c r="M17" s="2"/>
    </row>
    <row r="18" spans="1:13" ht="18" x14ac:dyDescent="0.25">
      <c r="A18" s="8"/>
      <c r="B18" s="8"/>
      <c r="C18" s="63"/>
      <c r="D18" s="33"/>
      <c r="E18" s="8"/>
      <c r="F18" s="8"/>
      <c r="G18" s="8"/>
      <c r="H18" s="2"/>
      <c r="I18" s="2"/>
      <c r="J18" s="2"/>
      <c r="K18" s="2"/>
      <c r="L18" s="2"/>
      <c r="M18" s="2"/>
    </row>
    <row r="19" spans="1:13" ht="18" x14ac:dyDescent="0.25">
      <c r="A19" s="8"/>
      <c r="B19" s="8"/>
      <c r="C19" s="63"/>
      <c r="D19" s="33"/>
      <c r="E19" s="8"/>
      <c r="F19" s="8"/>
      <c r="G19" s="8"/>
      <c r="H19" s="2"/>
      <c r="I19" s="2"/>
      <c r="J19" s="2"/>
      <c r="K19" s="2"/>
      <c r="L19" s="2"/>
      <c r="M19" s="2"/>
    </row>
    <row r="20" spans="1:13" ht="18" x14ac:dyDescent="0.25">
      <c r="A20" s="8"/>
      <c r="B20" s="8"/>
      <c r="C20" s="63"/>
      <c r="D20" s="33"/>
      <c r="E20" s="8"/>
      <c r="F20" s="8"/>
      <c r="G20" s="8"/>
      <c r="H20" s="2"/>
      <c r="I20" s="2"/>
      <c r="J20" s="2"/>
      <c r="K20" s="2"/>
      <c r="L20" s="2"/>
      <c r="M20" s="2"/>
    </row>
    <row r="21" spans="1:13" ht="18" x14ac:dyDescent="0.25">
      <c r="A21" s="8"/>
      <c r="B21" s="8"/>
      <c r="C21" s="63"/>
      <c r="D21" s="33"/>
      <c r="E21" s="8"/>
      <c r="F21" s="8"/>
      <c r="G21" s="8"/>
      <c r="H21" s="2"/>
      <c r="I21" s="2"/>
      <c r="J21" s="2"/>
      <c r="K21" s="2"/>
      <c r="L21" s="2"/>
      <c r="M21" s="2"/>
    </row>
    <row r="22" spans="1:13" ht="18" x14ac:dyDescent="0.25">
      <c r="A22" s="8"/>
      <c r="B22" s="8"/>
      <c r="C22" s="63"/>
      <c r="D22" s="33"/>
      <c r="E22" s="8"/>
      <c r="F22" s="8"/>
      <c r="G22" s="8"/>
      <c r="H22" s="2"/>
      <c r="I22" s="2"/>
      <c r="J22" s="2"/>
      <c r="K22" s="2"/>
      <c r="L22" s="2"/>
      <c r="M22" s="2"/>
    </row>
    <row r="23" spans="1:13" ht="18" x14ac:dyDescent="0.25">
      <c r="A23" s="8"/>
      <c r="B23" s="8"/>
      <c r="C23" s="63"/>
      <c r="D23" s="33"/>
      <c r="E23" s="8"/>
      <c r="F23" s="8"/>
      <c r="G23" s="8"/>
      <c r="H23" s="2"/>
      <c r="I23" s="2"/>
      <c r="J23" s="2"/>
      <c r="K23" s="2"/>
      <c r="L23" s="2"/>
      <c r="M23" s="2"/>
    </row>
    <row r="24" spans="1:13" ht="18" x14ac:dyDescent="0.25">
      <c r="A24" s="8"/>
      <c r="B24" s="8"/>
      <c r="C24" s="63"/>
      <c r="D24" s="33"/>
      <c r="E24" s="8"/>
      <c r="F24" s="8"/>
      <c r="G24" s="8"/>
      <c r="H24" s="2"/>
      <c r="I24" s="2"/>
      <c r="J24" s="2"/>
      <c r="K24" s="2"/>
      <c r="L24" s="2"/>
      <c r="M24" s="2"/>
    </row>
    <row r="25" spans="1:13" ht="18" x14ac:dyDescent="0.25">
      <c r="A25" s="8"/>
      <c r="B25" s="8"/>
      <c r="C25" s="63"/>
      <c r="D25" s="33"/>
      <c r="E25" s="8"/>
      <c r="F25" s="8"/>
      <c r="G25" s="8"/>
      <c r="H25" s="2"/>
      <c r="I25" s="2"/>
      <c r="J25" s="2"/>
      <c r="K25" s="2"/>
      <c r="L25" s="2"/>
      <c r="M25" s="2"/>
    </row>
    <row r="26" spans="1:13" ht="18" x14ac:dyDescent="0.25">
      <c r="A26" s="8"/>
      <c r="B26" s="8"/>
      <c r="C26" s="63"/>
      <c r="D26" s="33"/>
      <c r="E26" s="8"/>
      <c r="F26" s="8"/>
      <c r="G26" s="8"/>
      <c r="H26" s="2"/>
      <c r="I26" s="2"/>
      <c r="J26" s="2"/>
      <c r="K26" s="2"/>
      <c r="L26" s="2"/>
      <c r="M26" s="2"/>
    </row>
    <row r="27" spans="1:13" ht="18" x14ac:dyDescent="0.25">
      <c r="A27" s="8"/>
      <c r="B27" s="8"/>
      <c r="C27" s="63"/>
      <c r="D27" s="33"/>
      <c r="E27" s="8"/>
      <c r="F27" s="8"/>
      <c r="G27" s="8"/>
      <c r="H27" s="2"/>
      <c r="I27" s="2"/>
      <c r="J27" s="2"/>
      <c r="K27" s="2"/>
      <c r="L27" s="2"/>
      <c r="M27" s="2"/>
    </row>
    <row r="28" spans="1:13" ht="18" x14ac:dyDescent="0.25">
      <c r="A28" s="8"/>
      <c r="B28" s="8"/>
      <c r="C28" s="63"/>
      <c r="D28" s="33"/>
      <c r="E28" s="8"/>
      <c r="F28" s="8"/>
      <c r="G28" s="8"/>
      <c r="H28" s="2"/>
      <c r="I28" s="2"/>
      <c r="J28" s="2"/>
      <c r="K28" s="2"/>
      <c r="L28" s="2"/>
      <c r="M28" s="2"/>
    </row>
    <row r="29" spans="1:13" ht="18" x14ac:dyDescent="0.25">
      <c r="A29" s="8"/>
      <c r="B29" s="8"/>
      <c r="C29" s="63"/>
      <c r="D29" s="33"/>
      <c r="E29" s="8"/>
      <c r="F29" s="8"/>
      <c r="G29" s="8"/>
      <c r="H29" s="2"/>
      <c r="I29" s="2"/>
      <c r="J29" s="2"/>
      <c r="K29" s="2"/>
      <c r="L29" s="2"/>
      <c r="M29" s="2"/>
    </row>
    <row r="30" spans="1:13" ht="18" x14ac:dyDescent="0.25">
      <c r="A30" s="8"/>
      <c r="B30" s="8"/>
      <c r="C30" s="63"/>
      <c r="D30" s="33"/>
      <c r="E30" s="8"/>
      <c r="F30" s="8"/>
      <c r="G30" s="8"/>
      <c r="H30" s="2"/>
      <c r="I30" s="2"/>
      <c r="J30" s="2"/>
      <c r="K30" s="2"/>
      <c r="L30" s="2"/>
      <c r="M30" s="2"/>
    </row>
    <row r="31" spans="1:13" ht="18" x14ac:dyDescent="0.25">
      <c r="A31" s="8"/>
      <c r="B31" s="8"/>
      <c r="C31" s="63"/>
      <c r="D31" s="33"/>
      <c r="E31" s="8"/>
      <c r="F31" s="8"/>
      <c r="G31" s="8"/>
      <c r="H31" s="2"/>
      <c r="I31" s="2"/>
      <c r="J31" s="2"/>
      <c r="K31" s="2"/>
      <c r="L31" s="2"/>
      <c r="M31" s="2"/>
    </row>
    <row r="32" spans="1:13" ht="18" x14ac:dyDescent="0.25">
      <c r="A32" s="8"/>
      <c r="B32" s="8"/>
      <c r="C32" s="63"/>
      <c r="D32" s="33"/>
      <c r="E32" s="8"/>
      <c r="F32" s="8"/>
      <c r="G32" s="8"/>
      <c r="H32" s="2"/>
      <c r="I32" s="2"/>
      <c r="J32" s="2"/>
      <c r="K32" s="2"/>
      <c r="L32" s="2"/>
      <c r="M32" s="2"/>
    </row>
    <row r="33" spans="1:13" ht="18" x14ac:dyDescent="0.25">
      <c r="A33" s="8"/>
      <c r="B33" s="8"/>
      <c r="C33" s="63"/>
      <c r="D33" s="33"/>
      <c r="E33" s="8"/>
      <c r="F33" s="8"/>
      <c r="G33" s="8"/>
      <c r="H33" s="2"/>
      <c r="I33" s="2"/>
      <c r="J33" s="2"/>
      <c r="K33" s="2"/>
      <c r="L33" s="2"/>
      <c r="M33" s="2"/>
    </row>
    <row r="34" spans="1:13" ht="18" x14ac:dyDescent="0.25">
      <c r="A34" s="8"/>
      <c r="B34" s="8"/>
      <c r="C34" s="63"/>
      <c r="D34" s="33"/>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V37"/>
  <sheetViews>
    <sheetView rightToLeft="1" topLeftCell="B1" zoomScaleNormal="100" workbookViewId="0">
      <selection activeCell="F9" sqref="F9"/>
    </sheetView>
  </sheetViews>
  <sheetFormatPr defaultRowHeight="14.25" x14ac:dyDescent="0.2"/>
  <cols>
    <col min="1" max="2" width="4.375" style="3" customWidth="1"/>
    <col min="3" max="3" width="14.875" style="52" bestFit="1" customWidth="1"/>
    <col min="4" max="4" width="8.25" style="3" bestFit="1" customWidth="1"/>
    <col min="5" max="5" width="24.75" style="3" bestFit="1" customWidth="1"/>
    <col min="6" max="6" width="9.75" style="3" customWidth="1"/>
    <col min="7" max="7" width="9" style="3"/>
    <col min="17" max="17" width="10" bestFit="1" customWidth="1"/>
  </cols>
  <sheetData>
    <row r="2" spans="1:22" ht="26.25" x14ac:dyDescent="0.4">
      <c r="C2" s="99" t="s">
        <v>24</v>
      </c>
      <c r="D2" s="99"/>
      <c r="E2" s="99"/>
      <c r="F2" s="99"/>
      <c r="G2" s="99"/>
      <c r="H2" s="99"/>
      <c r="I2" s="99"/>
      <c r="J2" s="99"/>
      <c r="K2" s="99"/>
      <c r="L2" s="99"/>
      <c r="M2" s="99"/>
      <c r="N2" s="99"/>
      <c r="O2" s="99"/>
      <c r="P2" s="99"/>
      <c r="Q2" s="99"/>
    </row>
    <row r="3" spans="1:22" ht="56.25" x14ac:dyDescent="0.4">
      <c r="C3" s="57"/>
      <c r="D3" s="18" t="s">
        <v>8</v>
      </c>
      <c r="E3" s="18"/>
      <c r="F3" s="18" t="s">
        <v>18</v>
      </c>
      <c r="G3" s="1"/>
      <c r="H3" s="1"/>
      <c r="I3" s="1"/>
      <c r="J3" s="1"/>
      <c r="K3" s="1"/>
      <c r="L3" s="1"/>
      <c r="M3" s="1"/>
      <c r="N3" s="1"/>
      <c r="O3" s="100" t="s">
        <v>97</v>
      </c>
      <c r="P3" s="100"/>
      <c r="Q3" s="100"/>
      <c r="R3" s="100"/>
      <c r="S3" s="100"/>
      <c r="T3" s="100"/>
      <c r="U3" s="100"/>
      <c r="V3" s="100"/>
    </row>
    <row r="4" spans="1:22" ht="18" x14ac:dyDescent="0.25">
      <c r="C4" s="49"/>
      <c r="D4" s="11">
        <f>SUM(D6:D2004)</f>
        <v>1350</v>
      </c>
      <c r="E4" s="11"/>
      <c r="F4" s="11">
        <f>SUM(F6:F2004)</f>
        <v>1800</v>
      </c>
      <c r="Q4" s="3"/>
    </row>
    <row r="5" spans="1:22" ht="36" x14ac:dyDescent="0.25">
      <c r="A5" s="4" t="s">
        <v>7</v>
      </c>
      <c r="B5" s="4" t="s">
        <v>17</v>
      </c>
      <c r="C5" s="6" t="s">
        <v>1</v>
      </c>
      <c r="D5" s="4" t="s">
        <v>2</v>
      </c>
      <c r="E5" s="4" t="s">
        <v>4</v>
      </c>
      <c r="F5" s="4" t="s">
        <v>19</v>
      </c>
      <c r="G5" s="4" t="s">
        <v>4</v>
      </c>
      <c r="H5" s="5"/>
      <c r="I5" s="5"/>
      <c r="J5" s="5"/>
      <c r="K5" s="5"/>
      <c r="L5" s="5"/>
      <c r="M5" s="5"/>
      <c r="O5" s="2"/>
      <c r="P5" s="16" t="s">
        <v>7</v>
      </c>
      <c r="Q5" s="12" t="s">
        <v>37</v>
      </c>
      <c r="R5" s="106" t="s">
        <v>77</v>
      </c>
      <c r="S5" s="107"/>
      <c r="T5" s="107"/>
      <c r="U5" s="108"/>
    </row>
    <row r="6" spans="1:22" ht="18" x14ac:dyDescent="0.25">
      <c r="A6" s="8">
        <v>1</v>
      </c>
      <c r="B6" s="8">
        <v>1</v>
      </c>
      <c r="C6" s="51">
        <v>46092</v>
      </c>
      <c r="D6" s="55">
        <v>150</v>
      </c>
      <c r="E6" s="8"/>
      <c r="F6" s="8">
        <v>150</v>
      </c>
      <c r="G6" s="8" t="s">
        <v>208</v>
      </c>
      <c r="H6" s="2"/>
      <c r="I6" s="2"/>
      <c r="J6" s="2"/>
      <c r="K6" s="2"/>
      <c r="L6" s="2"/>
      <c r="M6" s="2"/>
      <c r="O6" s="2"/>
      <c r="P6" s="8">
        <v>1</v>
      </c>
      <c r="Q6" s="8"/>
      <c r="R6" s="2"/>
      <c r="S6" s="2"/>
    </row>
    <row r="7" spans="1:22" ht="18" x14ac:dyDescent="0.25">
      <c r="A7" s="8">
        <v>2</v>
      </c>
      <c r="B7" s="8">
        <v>2</v>
      </c>
      <c r="C7" s="51">
        <v>46092</v>
      </c>
      <c r="D7" s="55">
        <v>150</v>
      </c>
      <c r="E7" s="8"/>
      <c r="F7" s="8">
        <v>150</v>
      </c>
      <c r="G7" s="8" t="s">
        <v>209</v>
      </c>
      <c r="H7" s="2"/>
      <c r="I7" s="2"/>
      <c r="J7" s="2"/>
      <c r="K7" s="2"/>
      <c r="L7" s="2"/>
      <c r="M7" s="2"/>
      <c r="O7" s="2"/>
      <c r="P7" s="8">
        <v>2</v>
      </c>
      <c r="Q7" s="8"/>
      <c r="R7" s="2"/>
      <c r="S7" s="2"/>
    </row>
    <row r="8" spans="1:22" ht="18" x14ac:dyDescent="0.25">
      <c r="A8" s="8">
        <v>3</v>
      </c>
      <c r="B8" s="8">
        <v>3</v>
      </c>
      <c r="C8" s="51">
        <v>46092</v>
      </c>
      <c r="D8" s="55">
        <v>150</v>
      </c>
      <c r="E8" s="8"/>
      <c r="F8" s="8">
        <v>150</v>
      </c>
      <c r="G8" s="8" t="s">
        <v>100</v>
      </c>
      <c r="H8" s="2"/>
      <c r="I8" s="2"/>
      <c r="J8" s="2"/>
      <c r="K8" s="2"/>
      <c r="L8" s="2"/>
      <c r="M8" s="2"/>
      <c r="O8" s="8"/>
      <c r="P8" s="8">
        <v>3</v>
      </c>
      <c r="Q8" s="8"/>
      <c r="R8" s="2"/>
      <c r="S8" s="2"/>
    </row>
    <row r="9" spans="1:22" ht="18" x14ac:dyDescent="0.25">
      <c r="A9" s="8">
        <v>4</v>
      </c>
      <c r="B9" s="8">
        <v>4</v>
      </c>
      <c r="C9" s="51">
        <v>46158</v>
      </c>
      <c r="D9" s="55">
        <v>150</v>
      </c>
      <c r="E9" s="8"/>
      <c r="F9" s="8">
        <v>150</v>
      </c>
      <c r="G9" s="8" t="s">
        <v>101</v>
      </c>
      <c r="H9" s="2"/>
      <c r="I9" s="2"/>
      <c r="J9" s="2"/>
      <c r="K9" s="2"/>
      <c r="L9" s="2"/>
      <c r="M9" s="2"/>
      <c r="O9" s="8"/>
      <c r="P9" s="8">
        <v>4</v>
      </c>
      <c r="Q9" s="8"/>
      <c r="R9" s="2"/>
      <c r="S9" s="2"/>
    </row>
    <row r="10" spans="1:22" ht="18" x14ac:dyDescent="0.25">
      <c r="A10" s="8">
        <v>5</v>
      </c>
      <c r="B10" s="8">
        <v>5</v>
      </c>
      <c r="C10" s="51">
        <v>46158</v>
      </c>
      <c r="D10" s="55">
        <v>150</v>
      </c>
      <c r="E10" s="8"/>
      <c r="F10" s="8">
        <v>150</v>
      </c>
      <c r="G10" s="8" t="s">
        <v>102</v>
      </c>
      <c r="H10" s="2"/>
      <c r="I10" s="2"/>
      <c r="J10" s="2"/>
      <c r="K10" s="2"/>
      <c r="L10" s="2"/>
      <c r="M10" s="2"/>
      <c r="O10" s="8"/>
      <c r="P10" s="8">
        <v>5</v>
      </c>
      <c r="Q10" s="8"/>
      <c r="R10" s="2"/>
      <c r="S10" s="2"/>
    </row>
    <row r="11" spans="1:22" ht="18" x14ac:dyDescent="0.25">
      <c r="A11" s="8">
        <v>6</v>
      </c>
      <c r="B11" s="8">
        <v>6</v>
      </c>
      <c r="C11" s="51">
        <v>46158</v>
      </c>
      <c r="D11" s="55">
        <v>150</v>
      </c>
      <c r="E11" s="8"/>
      <c r="F11" s="8">
        <v>150</v>
      </c>
      <c r="G11" s="8" t="s">
        <v>103</v>
      </c>
      <c r="H11" s="2"/>
      <c r="I11" s="2"/>
      <c r="J11" s="2"/>
      <c r="K11" s="2"/>
      <c r="L11" s="2"/>
      <c r="M11" s="2"/>
      <c r="O11" s="8"/>
      <c r="P11" s="8">
        <v>6</v>
      </c>
      <c r="Q11" s="8"/>
      <c r="R11" s="2"/>
      <c r="S11" s="2"/>
    </row>
    <row r="12" spans="1:22" ht="18" x14ac:dyDescent="0.25">
      <c r="A12" s="8">
        <v>7</v>
      </c>
      <c r="B12" s="8">
        <v>7</v>
      </c>
      <c r="C12" s="51">
        <v>46261</v>
      </c>
      <c r="D12" s="55">
        <v>150</v>
      </c>
      <c r="E12" s="8"/>
      <c r="F12" s="8">
        <v>150</v>
      </c>
      <c r="G12" s="8" t="s">
        <v>104</v>
      </c>
      <c r="H12" s="2"/>
      <c r="I12" s="2"/>
      <c r="J12" s="2"/>
      <c r="K12" s="2"/>
      <c r="L12" s="2"/>
      <c r="M12" s="2"/>
      <c r="P12" s="31" t="s">
        <v>78</v>
      </c>
      <c r="Q12" s="35">
        <f>SUM(Q6:Q11)</f>
        <v>0</v>
      </c>
      <c r="R12" s="109"/>
      <c r="S12" s="110"/>
      <c r="T12" s="110"/>
      <c r="U12" s="111"/>
    </row>
    <row r="13" spans="1:22" ht="18" x14ac:dyDescent="0.25">
      <c r="A13" s="8">
        <v>8</v>
      </c>
      <c r="B13" s="8">
        <v>8</v>
      </c>
      <c r="C13" s="51">
        <v>46261</v>
      </c>
      <c r="D13" s="55">
        <v>150</v>
      </c>
      <c r="E13" s="8"/>
      <c r="F13" s="8">
        <v>150</v>
      </c>
      <c r="G13" s="8" t="s">
        <v>105</v>
      </c>
      <c r="H13" s="2"/>
      <c r="I13" s="2"/>
      <c r="J13" s="2"/>
      <c r="K13" s="2"/>
      <c r="L13" s="2"/>
      <c r="M13" s="2"/>
      <c r="O13" s="2"/>
      <c r="P13" s="38"/>
      <c r="Q13" s="38"/>
      <c r="R13" s="2"/>
      <c r="S13" s="39"/>
    </row>
    <row r="14" spans="1:22" ht="18" x14ac:dyDescent="0.25">
      <c r="A14" s="8">
        <v>9</v>
      </c>
      <c r="B14" s="8">
        <v>9</v>
      </c>
      <c r="C14" s="51">
        <v>46261</v>
      </c>
      <c r="D14" s="55">
        <v>150</v>
      </c>
      <c r="E14" s="8"/>
      <c r="F14" s="8">
        <v>150</v>
      </c>
      <c r="G14" s="8" t="s">
        <v>106</v>
      </c>
      <c r="H14" s="2"/>
      <c r="I14" s="2"/>
      <c r="J14" s="2"/>
      <c r="K14" s="2"/>
      <c r="L14" s="2"/>
      <c r="M14" s="2"/>
      <c r="P14" s="40" t="s">
        <v>98</v>
      </c>
      <c r="Q14" s="41">
        <f>Q12-Q13</f>
        <v>0</v>
      </c>
      <c r="R14" s="42"/>
      <c r="S14" s="43"/>
      <c r="T14" s="43"/>
      <c r="U14" s="44"/>
    </row>
    <row r="15" spans="1:22" ht="18" x14ac:dyDescent="0.25">
      <c r="A15" s="8">
        <v>10</v>
      </c>
      <c r="B15" s="8">
        <v>10</v>
      </c>
      <c r="C15" s="51">
        <v>46359</v>
      </c>
      <c r="D15" s="55"/>
      <c r="E15" s="8"/>
      <c r="F15" s="8">
        <v>150</v>
      </c>
      <c r="G15" s="8" t="s">
        <v>107</v>
      </c>
      <c r="H15" s="2"/>
      <c r="I15" s="2"/>
      <c r="J15" s="2"/>
      <c r="K15" s="2"/>
      <c r="L15" s="2"/>
      <c r="M15" s="2"/>
      <c r="O15" s="32"/>
      <c r="P15" s="34"/>
      <c r="Q15" s="33"/>
      <c r="R15" s="2"/>
      <c r="S15" s="2"/>
    </row>
    <row r="16" spans="1:22" ht="18" x14ac:dyDescent="0.25">
      <c r="A16" s="8">
        <v>11</v>
      </c>
      <c r="B16" s="8">
        <v>11</v>
      </c>
      <c r="C16" s="51">
        <v>46359</v>
      </c>
      <c r="D16" s="55"/>
      <c r="E16" s="8"/>
      <c r="F16" s="8">
        <v>150</v>
      </c>
      <c r="G16" s="8" t="s">
        <v>108</v>
      </c>
      <c r="H16" s="2"/>
      <c r="I16" s="2"/>
      <c r="J16" s="2"/>
      <c r="K16" s="2"/>
      <c r="L16" s="2"/>
      <c r="M16" s="2"/>
    </row>
    <row r="17" spans="1:13" ht="18" x14ac:dyDescent="0.25">
      <c r="A17" s="8">
        <v>12</v>
      </c>
      <c r="B17" s="8">
        <v>12</v>
      </c>
      <c r="C17" s="51">
        <v>46359</v>
      </c>
      <c r="D17" s="55"/>
      <c r="E17" s="8"/>
      <c r="F17" s="8">
        <v>150</v>
      </c>
      <c r="G17" s="8" t="s">
        <v>109</v>
      </c>
      <c r="H17" s="2"/>
      <c r="I17" s="2"/>
      <c r="J17" s="2"/>
      <c r="K17" s="2"/>
      <c r="L17" s="2"/>
      <c r="M17" s="2"/>
    </row>
    <row r="18" spans="1:13" ht="18" x14ac:dyDescent="0.25">
      <c r="G18" s="8"/>
      <c r="H18" s="2"/>
      <c r="I18" s="2"/>
      <c r="J18" s="2"/>
      <c r="K18" s="2"/>
      <c r="L18" s="2"/>
      <c r="M18" s="2"/>
    </row>
    <row r="19" spans="1:13" ht="18" x14ac:dyDescent="0.25">
      <c r="G19" s="8"/>
      <c r="H19" s="2"/>
      <c r="I19" s="2"/>
      <c r="J19" s="2"/>
      <c r="K19" s="2"/>
      <c r="L19" s="2"/>
      <c r="M19" s="2"/>
    </row>
    <row r="20" spans="1:13" ht="18" x14ac:dyDescent="0.25">
      <c r="G20" s="8"/>
      <c r="H20" s="2"/>
      <c r="I20" s="2"/>
      <c r="J20" s="2"/>
      <c r="K20" s="2"/>
      <c r="L20" s="2"/>
      <c r="M20" s="2"/>
    </row>
    <row r="21" spans="1:13" ht="18" x14ac:dyDescent="0.25">
      <c r="A21" s="8"/>
      <c r="B21" s="8"/>
      <c r="C21" s="51"/>
      <c r="D21" s="8"/>
      <c r="E21" s="8"/>
      <c r="F21" s="8"/>
      <c r="G21" s="8"/>
      <c r="H21" s="2"/>
      <c r="I21" s="2"/>
      <c r="J21" s="2"/>
      <c r="K21" s="2"/>
      <c r="L21" s="2"/>
      <c r="M21" s="2"/>
    </row>
    <row r="22" spans="1:13" ht="18" x14ac:dyDescent="0.25">
      <c r="A22" s="8"/>
      <c r="B22" s="8"/>
      <c r="C22" s="51"/>
      <c r="D22" s="8"/>
      <c r="E22" s="8"/>
      <c r="F22" s="8"/>
      <c r="G22" s="8"/>
      <c r="H22" s="2"/>
      <c r="I22" s="2"/>
      <c r="J22" s="2"/>
      <c r="K22" s="2"/>
      <c r="L22" s="2"/>
      <c r="M22" s="2"/>
    </row>
    <row r="23" spans="1:13" ht="18" x14ac:dyDescent="0.25">
      <c r="A23" s="8"/>
      <c r="B23" s="8"/>
      <c r="C23" s="51"/>
      <c r="D23" s="8"/>
      <c r="E23" s="8"/>
      <c r="F23" s="8"/>
      <c r="G23" s="8"/>
      <c r="H23" s="2"/>
      <c r="I23" s="2"/>
      <c r="J23" s="2"/>
      <c r="K23" s="2"/>
      <c r="L23" s="2"/>
      <c r="M23" s="2"/>
    </row>
    <row r="24" spans="1:13" ht="18" x14ac:dyDescent="0.25">
      <c r="A24" s="8"/>
      <c r="B24" s="8"/>
      <c r="C24" s="51"/>
      <c r="D24" s="8"/>
      <c r="E24" s="8"/>
      <c r="F24" s="8"/>
      <c r="G24" s="8"/>
      <c r="H24" s="2"/>
      <c r="I24" s="2"/>
      <c r="J24" s="2"/>
      <c r="K24" s="2"/>
      <c r="L24" s="2"/>
      <c r="M24" s="2"/>
    </row>
    <row r="25" spans="1:13" ht="18" x14ac:dyDescent="0.25">
      <c r="A25" s="8"/>
      <c r="B25" s="8"/>
      <c r="C25" s="51"/>
      <c r="D25" s="8"/>
      <c r="E25" s="8"/>
      <c r="F25" s="8"/>
      <c r="G25" s="8"/>
      <c r="H25" s="2"/>
      <c r="I25" s="2"/>
      <c r="J25" s="2"/>
      <c r="K25" s="2"/>
      <c r="L25" s="2"/>
      <c r="M25" s="2"/>
    </row>
    <row r="26" spans="1:13" ht="18" x14ac:dyDescent="0.25">
      <c r="A26" s="8"/>
      <c r="B26" s="8"/>
      <c r="C26" s="51"/>
      <c r="D26" s="8"/>
      <c r="E26" s="8"/>
      <c r="F26" s="8"/>
      <c r="G26" s="8"/>
      <c r="H26" s="2"/>
      <c r="I26" s="2"/>
      <c r="J26" s="2"/>
      <c r="K26" s="2"/>
      <c r="L26" s="2"/>
      <c r="M26" s="2"/>
    </row>
    <row r="27" spans="1:13" ht="18" x14ac:dyDescent="0.25">
      <c r="A27" s="8"/>
      <c r="B27" s="8"/>
      <c r="C27" s="51"/>
      <c r="D27" s="8"/>
      <c r="E27" s="8"/>
      <c r="F27" s="8"/>
      <c r="G27" s="8"/>
      <c r="H27" s="2"/>
      <c r="I27" s="2"/>
      <c r="J27" s="2"/>
      <c r="K27" s="2"/>
      <c r="L27" s="2"/>
      <c r="M27" s="2"/>
    </row>
    <row r="28" spans="1:13" ht="18" x14ac:dyDescent="0.25">
      <c r="A28" s="8"/>
      <c r="B28" s="8"/>
      <c r="C28" s="51"/>
      <c r="D28" s="8"/>
      <c r="E28" s="8"/>
      <c r="F28" s="8"/>
      <c r="G28" s="8"/>
      <c r="H28" s="2"/>
      <c r="I28" s="2"/>
      <c r="J28" s="2"/>
      <c r="K28" s="2"/>
      <c r="L28" s="2"/>
      <c r="M28" s="2"/>
    </row>
    <row r="29" spans="1:13" ht="18" x14ac:dyDescent="0.25">
      <c r="A29" s="8"/>
      <c r="B29" s="8"/>
      <c r="C29" s="51"/>
      <c r="D29" s="8"/>
      <c r="E29" s="8"/>
      <c r="F29" s="8"/>
      <c r="G29" s="8"/>
      <c r="H29" s="2"/>
      <c r="I29" s="2"/>
      <c r="J29" s="2"/>
      <c r="K29" s="2"/>
      <c r="L29" s="2"/>
      <c r="M29" s="2"/>
    </row>
    <row r="30" spans="1:13" ht="18" x14ac:dyDescent="0.25">
      <c r="A30" s="8"/>
      <c r="B30" s="8"/>
      <c r="C30" s="51"/>
      <c r="D30" s="8"/>
      <c r="E30" s="8"/>
      <c r="F30" s="8"/>
      <c r="G30" s="8"/>
      <c r="H30" s="2"/>
      <c r="I30" s="2"/>
      <c r="J30" s="2"/>
      <c r="K30" s="2"/>
      <c r="L30" s="2"/>
      <c r="M30" s="2"/>
    </row>
    <row r="31" spans="1:13" ht="18" x14ac:dyDescent="0.25">
      <c r="A31" s="8"/>
      <c r="B31" s="8"/>
      <c r="C31" s="51"/>
      <c r="D31" s="8"/>
      <c r="E31" s="8"/>
      <c r="F31" s="8"/>
      <c r="G31" s="8"/>
      <c r="H31" s="2"/>
      <c r="I31" s="2"/>
      <c r="J31" s="2"/>
      <c r="K31" s="2"/>
      <c r="L31" s="2"/>
      <c r="M31" s="2"/>
    </row>
    <row r="32" spans="1:13" ht="18" x14ac:dyDescent="0.25">
      <c r="A32" s="8"/>
      <c r="B32" s="8"/>
      <c r="C32" s="51"/>
      <c r="D32" s="8"/>
      <c r="E32" s="8"/>
      <c r="F32" s="8"/>
      <c r="G32" s="8"/>
      <c r="H32" s="2"/>
      <c r="I32" s="2"/>
      <c r="J32" s="2"/>
      <c r="K32" s="2"/>
      <c r="L32" s="2"/>
      <c r="M32" s="2"/>
    </row>
    <row r="33" spans="1:13" ht="18" x14ac:dyDescent="0.25">
      <c r="A33" s="8"/>
      <c r="B33" s="8"/>
      <c r="C33" s="51"/>
      <c r="D33" s="8"/>
      <c r="E33" s="8"/>
      <c r="F33" s="8"/>
      <c r="G33" s="8"/>
      <c r="H33" s="2"/>
      <c r="I33" s="2"/>
      <c r="J33" s="2"/>
      <c r="K33" s="2"/>
      <c r="L33" s="2"/>
      <c r="M33" s="2"/>
    </row>
    <row r="34" spans="1:13" ht="18" x14ac:dyDescent="0.25">
      <c r="A34" s="8"/>
      <c r="B34" s="8"/>
      <c r="C34" s="51"/>
      <c r="D34" s="8"/>
      <c r="E34" s="8"/>
      <c r="F34" s="8"/>
      <c r="G34" s="8"/>
      <c r="H34" s="2"/>
      <c r="I34" s="2"/>
      <c r="J34" s="2"/>
      <c r="K34" s="2"/>
      <c r="L34" s="2"/>
      <c r="M34" s="2"/>
    </row>
    <row r="35" spans="1:13" ht="18" x14ac:dyDescent="0.25">
      <c r="A35" s="8"/>
      <c r="B35" s="8"/>
      <c r="C35" s="51"/>
      <c r="D35" s="8"/>
      <c r="E35" s="8"/>
      <c r="F35" s="8"/>
      <c r="G35" s="8"/>
      <c r="H35" s="2"/>
      <c r="I35" s="2"/>
      <c r="J35" s="2"/>
      <c r="K35" s="2"/>
      <c r="L35" s="2"/>
      <c r="M35" s="2"/>
    </row>
    <row r="36" spans="1:13" ht="18" x14ac:dyDescent="0.25">
      <c r="A36" s="8"/>
      <c r="B36" s="8"/>
      <c r="C36" s="51"/>
      <c r="D36" s="8"/>
      <c r="E36" s="8"/>
      <c r="F36" s="8"/>
      <c r="G36" s="8"/>
      <c r="H36" s="2"/>
      <c r="I36" s="2"/>
      <c r="J36" s="2"/>
      <c r="K36" s="2"/>
      <c r="L36" s="2"/>
      <c r="M36" s="2"/>
    </row>
    <row r="37" spans="1:13" ht="18" x14ac:dyDescent="0.25">
      <c r="A37" s="8"/>
      <c r="B37" s="8"/>
      <c r="C37" s="51"/>
      <c r="D37" s="8"/>
      <c r="E37" s="8"/>
      <c r="F37" s="8"/>
      <c r="G37" s="8"/>
      <c r="H37" s="2"/>
      <c r="I37" s="2"/>
      <c r="J37" s="2"/>
      <c r="K37" s="2"/>
      <c r="L37" s="2"/>
      <c r="M37" s="2"/>
    </row>
  </sheetData>
  <mergeCells count="4">
    <mergeCell ref="C2:Q2"/>
    <mergeCell ref="O3:V3"/>
    <mergeCell ref="R5:U5"/>
    <mergeCell ref="R12:U12"/>
  </mergeCells>
  <pageMargins left="0.7" right="0.7" top="0.75" bottom="0.75" header="0.3" footer="0.3"/>
  <pageSetup paperSize="9" orientation="landscape"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Q34"/>
  <sheetViews>
    <sheetView rightToLeft="1" topLeftCell="A4" workbookViewId="0">
      <selection activeCell="D15" sqref="D15"/>
    </sheetView>
  </sheetViews>
  <sheetFormatPr defaultRowHeight="14.25" x14ac:dyDescent="0.2"/>
  <cols>
    <col min="1" max="2" width="4.375" style="3" customWidth="1"/>
    <col min="3" max="3" width="14.875" style="78" bestFit="1" customWidth="1"/>
    <col min="4" max="4" width="8.25" style="66" bestFit="1" customWidth="1"/>
    <col min="5" max="5" width="24.75" style="3" bestFit="1" customWidth="1"/>
    <col min="6" max="6" width="9.75" style="66" customWidth="1"/>
    <col min="7" max="7" width="9" style="3"/>
  </cols>
  <sheetData>
    <row r="2" spans="1:17" ht="26.25" x14ac:dyDescent="0.4">
      <c r="C2" s="99" t="s">
        <v>115</v>
      </c>
      <c r="D2" s="99"/>
      <c r="E2" s="99"/>
      <c r="F2" s="99"/>
      <c r="G2" s="99"/>
      <c r="H2" s="99"/>
      <c r="I2" s="99"/>
      <c r="J2" s="99"/>
      <c r="K2" s="99"/>
      <c r="L2" s="99"/>
      <c r="M2" s="99"/>
      <c r="N2" s="99"/>
      <c r="O2" s="99"/>
      <c r="P2" s="99"/>
      <c r="Q2" s="99"/>
    </row>
    <row r="3" spans="1:17" ht="56.25" x14ac:dyDescent="0.4">
      <c r="C3" s="75"/>
      <c r="D3" s="18" t="s">
        <v>8</v>
      </c>
      <c r="E3" s="18"/>
      <c r="F3" s="18" t="s">
        <v>18</v>
      </c>
      <c r="G3" s="1"/>
      <c r="H3" s="1"/>
      <c r="I3" s="1"/>
      <c r="J3" s="1"/>
      <c r="K3" s="1"/>
      <c r="L3" s="1"/>
      <c r="M3" s="1"/>
      <c r="N3" s="1"/>
      <c r="O3" s="1"/>
      <c r="P3" s="1"/>
      <c r="Q3" s="1"/>
    </row>
    <row r="4" spans="1:17" ht="18" x14ac:dyDescent="0.25">
      <c r="C4" s="76"/>
      <c r="D4" s="83">
        <f>SUM(D6:D2001)</f>
        <v>2700</v>
      </c>
      <c r="E4" s="11"/>
      <c r="F4" s="83">
        <f>SUM(F6:F2001)</f>
        <v>3600</v>
      </c>
    </row>
    <row r="5" spans="1:17" ht="36" x14ac:dyDescent="0.2">
      <c r="A5" s="4" t="s">
        <v>7</v>
      </c>
      <c r="B5" s="4" t="s">
        <v>17</v>
      </c>
      <c r="C5" s="50" t="s">
        <v>1</v>
      </c>
      <c r="D5" s="4" t="s">
        <v>2</v>
      </c>
      <c r="E5" s="4" t="s">
        <v>4</v>
      </c>
      <c r="F5" s="4" t="s">
        <v>19</v>
      </c>
      <c r="G5" s="4" t="s">
        <v>4</v>
      </c>
      <c r="H5" s="5"/>
      <c r="I5" s="5"/>
      <c r="J5" s="5"/>
      <c r="K5" s="5"/>
      <c r="L5" s="5"/>
      <c r="M5" s="5"/>
    </row>
    <row r="6" spans="1:17" ht="18" x14ac:dyDescent="0.25">
      <c r="A6" s="8">
        <v>1</v>
      </c>
      <c r="B6" s="8">
        <v>1</v>
      </c>
      <c r="C6" s="77">
        <v>45315</v>
      </c>
      <c r="D6" s="33">
        <v>300</v>
      </c>
      <c r="E6" s="8"/>
      <c r="F6" s="33">
        <v>300</v>
      </c>
      <c r="G6" s="8" t="s">
        <v>222</v>
      </c>
      <c r="H6" s="2"/>
      <c r="I6" s="2"/>
      <c r="J6" s="2"/>
      <c r="K6" s="2"/>
      <c r="L6" s="2"/>
      <c r="M6" s="2"/>
    </row>
    <row r="7" spans="1:17" ht="18" x14ac:dyDescent="0.25">
      <c r="A7" s="8">
        <v>2</v>
      </c>
      <c r="B7" s="8">
        <v>2</v>
      </c>
      <c r="C7" s="77">
        <v>46080</v>
      </c>
      <c r="D7" s="33">
        <v>300</v>
      </c>
      <c r="E7" s="8"/>
      <c r="F7" s="33">
        <v>300</v>
      </c>
      <c r="G7" s="8" t="s">
        <v>223</v>
      </c>
      <c r="H7" s="2"/>
      <c r="I7" s="2"/>
      <c r="J7" s="2"/>
      <c r="K7" s="2"/>
      <c r="L7" s="2"/>
      <c r="M7" s="2"/>
    </row>
    <row r="8" spans="1:17" ht="18" x14ac:dyDescent="0.25">
      <c r="A8" s="8">
        <v>3</v>
      </c>
      <c r="B8" s="8">
        <v>3</v>
      </c>
      <c r="C8" s="77">
        <v>46093</v>
      </c>
      <c r="D8" s="33">
        <v>300</v>
      </c>
      <c r="E8" s="8"/>
      <c r="F8" s="33">
        <v>300</v>
      </c>
      <c r="G8" s="8" t="s">
        <v>224</v>
      </c>
      <c r="H8" s="2"/>
      <c r="I8" s="2"/>
      <c r="J8" s="2"/>
      <c r="K8" s="2"/>
      <c r="L8" s="2"/>
      <c r="M8" s="2"/>
    </row>
    <row r="9" spans="1:17" ht="18" x14ac:dyDescent="0.25">
      <c r="A9" s="8">
        <v>4</v>
      </c>
      <c r="B9" s="8">
        <v>4</v>
      </c>
      <c r="C9" s="77">
        <v>46158</v>
      </c>
      <c r="D9" s="33">
        <v>300</v>
      </c>
      <c r="E9" s="8"/>
      <c r="F9" s="33">
        <v>300</v>
      </c>
      <c r="G9" s="8" t="s">
        <v>225</v>
      </c>
      <c r="H9" s="2"/>
      <c r="I9" s="2"/>
      <c r="J9" s="2"/>
      <c r="K9" s="2"/>
      <c r="L9" s="2"/>
      <c r="M9" s="2"/>
    </row>
    <row r="10" spans="1:17" ht="18" x14ac:dyDescent="0.25">
      <c r="A10" s="8">
        <v>5</v>
      </c>
      <c r="B10" s="8">
        <v>5</v>
      </c>
      <c r="C10" s="77">
        <v>46158</v>
      </c>
      <c r="D10" s="33">
        <v>300</v>
      </c>
      <c r="E10" s="8"/>
      <c r="F10" s="33">
        <v>300</v>
      </c>
      <c r="G10" s="8" t="s">
        <v>226</v>
      </c>
      <c r="H10" s="2"/>
      <c r="I10" s="2"/>
      <c r="J10" s="2"/>
      <c r="K10" s="2"/>
      <c r="L10" s="2"/>
      <c r="M10" s="2"/>
    </row>
    <row r="11" spans="1:17" ht="18" x14ac:dyDescent="0.25">
      <c r="A11" s="8">
        <v>6</v>
      </c>
      <c r="B11" s="8">
        <v>6</v>
      </c>
      <c r="C11" s="77">
        <v>46190</v>
      </c>
      <c r="D11" s="33">
        <v>300</v>
      </c>
      <c r="E11" s="8"/>
      <c r="F11" s="33">
        <v>300</v>
      </c>
      <c r="G11" s="8" t="s">
        <v>227</v>
      </c>
      <c r="H11" s="2"/>
      <c r="I11" s="2"/>
      <c r="J11" s="2"/>
      <c r="K11" s="2"/>
      <c r="L11" s="2"/>
      <c r="M11" s="2"/>
    </row>
    <row r="12" spans="1:17" ht="18" x14ac:dyDescent="0.25">
      <c r="A12" s="8">
        <v>7</v>
      </c>
      <c r="B12" s="8">
        <v>7</v>
      </c>
      <c r="C12" s="98">
        <v>46270</v>
      </c>
      <c r="D12" s="33">
        <v>300</v>
      </c>
      <c r="E12" s="8"/>
      <c r="F12" s="33">
        <v>300</v>
      </c>
      <c r="G12" s="8" t="s">
        <v>228</v>
      </c>
      <c r="H12" s="2"/>
      <c r="I12" s="2"/>
      <c r="J12" s="2"/>
      <c r="K12" s="2"/>
      <c r="L12" s="2"/>
      <c r="M12" s="2"/>
    </row>
    <row r="13" spans="1:17" ht="18" x14ac:dyDescent="0.25">
      <c r="A13" s="8">
        <v>8</v>
      </c>
      <c r="B13" s="8">
        <v>8</v>
      </c>
      <c r="C13" s="98">
        <v>46270</v>
      </c>
      <c r="D13" s="33">
        <v>300</v>
      </c>
      <c r="E13" s="8"/>
      <c r="F13" s="33">
        <v>300</v>
      </c>
      <c r="G13" s="8" t="s">
        <v>105</v>
      </c>
      <c r="H13" s="2"/>
      <c r="I13" s="2"/>
      <c r="J13" s="2"/>
      <c r="K13" s="2"/>
      <c r="L13" s="2"/>
      <c r="M13" s="2"/>
    </row>
    <row r="14" spans="1:17" ht="18" x14ac:dyDescent="0.25">
      <c r="A14" s="8">
        <v>9</v>
      </c>
      <c r="B14" s="8">
        <v>9</v>
      </c>
      <c r="C14" s="77">
        <v>46289</v>
      </c>
      <c r="D14" s="33">
        <v>300</v>
      </c>
      <c r="E14" s="8"/>
      <c r="F14" s="33">
        <v>300</v>
      </c>
      <c r="G14" s="8" t="s">
        <v>106</v>
      </c>
      <c r="H14" s="2"/>
      <c r="I14" s="2"/>
      <c r="J14" s="2"/>
      <c r="K14" s="2"/>
      <c r="L14" s="2"/>
      <c r="M14" s="2"/>
    </row>
    <row r="15" spans="1:17" ht="18" x14ac:dyDescent="0.25">
      <c r="A15" s="8">
        <v>10</v>
      </c>
      <c r="B15" s="8">
        <v>10</v>
      </c>
      <c r="C15" s="77">
        <v>46357</v>
      </c>
      <c r="D15" s="33"/>
      <c r="E15" s="8"/>
      <c r="F15" s="33">
        <v>300</v>
      </c>
      <c r="G15" s="8" t="s">
        <v>107</v>
      </c>
      <c r="H15" s="2"/>
      <c r="I15" s="2"/>
      <c r="J15" s="2"/>
      <c r="K15" s="2"/>
      <c r="L15" s="2"/>
      <c r="M15" s="2"/>
    </row>
    <row r="16" spans="1:17" ht="18" x14ac:dyDescent="0.25">
      <c r="A16" s="8">
        <v>11</v>
      </c>
      <c r="B16" s="8">
        <v>11</v>
      </c>
      <c r="C16" s="77">
        <v>46357</v>
      </c>
      <c r="D16" s="33"/>
      <c r="E16" s="8"/>
      <c r="F16" s="33">
        <v>300</v>
      </c>
      <c r="G16" s="8" t="s">
        <v>220</v>
      </c>
      <c r="H16" s="2"/>
      <c r="I16" s="2"/>
      <c r="J16" s="2"/>
      <c r="K16" s="2"/>
      <c r="L16" s="2"/>
      <c r="M16" s="2"/>
    </row>
    <row r="17" spans="1:13" ht="18" x14ac:dyDescent="0.25">
      <c r="A17" s="8">
        <v>12</v>
      </c>
      <c r="B17" s="8">
        <v>12</v>
      </c>
      <c r="C17" s="77">
        <v>46357</v>
      </c>
      <c r="D17" s="33"/>
      <c r="E17" s="8"/>
      <c r="F17" s="33">
        <v>300</v>
      </c>
      <c r="G17" s="8" t="s">
        <v>221</v>
      </c>
      <c r="H17" s="2"/>
      <c r="I17" s="2"/>
      <c r="J17" s="2"/>
      <c r="K17" s="2"/>
      <c r="L17" s="2"/>
      <c r="M17" s="2"/>
    </row>
    <row r="18" spans="1:13" ht="18" x14ac:dyDescent="0.25">
      <c r="A18" s="8"/>
      <c r="B18" s="8"/>
      <c r="C18" s="77"/>
      <c r="D18" s="33"/>
      <c r="E18" s="8"/>
      <c r="F18" s="33"/>
      <c r="G18" s="8"/>
      <c r="H18" s="2"/>
      <c r="I18" s="2"/>
      <c r="J18" s="2"/>
      <c r="K18" s="2"/>
      <c r="L18" s="2"/>
      <c r="M18" s="2"/>
    </row>
    <row r="19" spans="1:13" ht="18" x14ac:dyDescent="0.25">
      <c r="A19" s="8"/>
      <c r="B19" s="8"/>
      <c r="C19" s="77"/>
      <c r="D19" s="33"/>
      <c r="E19" s="8"/>
      <c r="F19" s="33"/>
      <c r="G19" s="8"/>
      <c r="H19" s="2"/>
      <c r="I19" s="2"/>
      <c r="J19" s="2"/>
      <c r="K19" s="2"/>
      <c r="L19" s="2"/>
      <c r="M19" s="2"/>
    </row>
    <row r="20" spans="1:13" ht="18" x14ac:dyDescent="0.25">
      <c r="A20" s="8"/>
      <c r="B20" s="8"/>
      <c r="C20" s="77"/>
      <c r="D20" s="33"/>
      <c r="E20" s="8"/>
      <c r="F20" s="33"/>
      <c r="G20" s="8"/>
      <c r="H20" s="2"/>
      <c r="I20" s="2"/>
      <c r="J20" s="2"/>
      <c r="K20" s="2"/>
      <c r="L20" s="2"/>
      <c r="M20" s="2"/>
    </row>
    <row r="21" spans="1:13" ht="18" x14ac:dyDescent="0.25">
      <c r="A21" s="8"/>
      <c r="B21" s="8"/>
      <c r="C21" s="77"/>
      <c r="D21" s="33"/>
      <c r="E21" s="8"/>
      <c r="F21" s="33"/>
      <c r="G21" s="8"/>
      <c r="H21" s="2"/>
      <c r="I21" s="2"/>
      <c r="J21" s="2"/>
      <c r="K21" s="2"/>
      <c r="L21" s="2"/>
      <c r="M21" s="2"/>
    </row>
    <row r="22" spans="1:13" ht="18" x14ac:dyDescent="0.25">
      <c r="A22" s="8"/>
      <c r="B22" s="8"/>
      <c r="C22" s="77"/>
      <c r="D22" s="33"/>
      <c r="E22" s="8"/>
      <c r="F22" s="33"/>
      <c r="G22" s="8"/>
      <c r="H22" s="2"/>
      <c r="I22" s="2"/>
      <c r="J22" s="2"/>
      <c r="K22" s="2"/>
      <c r="L22" s="2"/>
      <c r="M22" s="2"/>
    </row>
    <row r="23" spans="1:13" ht="18" x14ac:dyDescent="0.25">
      <c r="A23" s="8"/>
      <c r="B23" s="8"/>
      <c r="C23" s="77"/>
      <c r="D23" s="33"/>
      <c r="E23" s="8"/>
      <c r="F23" s="33"/>
      <c r="G23" s="8"/>
      <c r="H23" s="2"/>
      <c r="I23" s="2"/>
      <c r="J23" s="2"/>
      <c r="K23" s="2"/>
      <c r="L23" s="2"/>
      <c r="M23" s="2"/>
    </row>
    <row r="24" spans="1:13" ht="18" x14ac:dyDescent="0.25">
      <c r="A24" s="8"/>
      <c r="B24" s="8"/>
      <c r="C24" s="77"/>
      <c r="D24" s="33"/>
      <c r="E24" s="8"/>
      <c r="F24" s="33"/>
      <c r="G24" s="8"/>
      <c r="H24" s="2"/>
      <c r="I24" s="2"/>
      <c r="J24" s="2"/>
      <c r="K24" s="2"/>
      <c r="L24" s="2"/>
      <c r="M24" s="2"/>
    </row>
    <row r="25" spans="1:13" ht="18" x14ac:dyDescent="0.25">
      <c r="A25" s="8"/>
      <c r="B25" s="8"/>
      <c r="C25" s="77"/>
      <c r="D25" s="33"/>
      <c r="E25" s="8"/>
      <c r="F25" s="33"/>
      <c r="G25" s="8"/>
      <c r="H25" s="2"/>
      <c r="I25" s="2"/>
      <c r="J25" s="2"/>
      <c r="K25" s="2"/>
      <c r="L25" s="2"/>
      <c r="M25" s="2"/>
    </row>
    <row r="26" spans="1:13" ht="18" x14ac:dyDescent="0.25">
      <c r="A26" s="8"/>
      <c r="B26" s="8"/>
      <c r="C26" s="77"/>
      <c r="D26" s="33"/>
      <c r="E26" s="8"/>
      <c r="F26" s="33"/>
      <c r="G26" s="8"/>
      <c r="H26" s="2"/>
      <c r="I26" s="2"/>
      <c r="J26" s="2"/>
      <c r="K26" s="2"/>
      <c r="L26" s="2"/>
      <c r="M26" s="2"/>
    </row>
    <row r="27" spans="1:13" ht="18" x14ac:dyDescent="0.25">
      <c r="A27" s="8"/>
      <c r="B27" s="8"/>
      <c r="C27" s="77"/>
      <c r="D27" s="33"/>
      <c r="E27" s="8"/>
      <c r="F27" s="33"/>
      <c r="G27" s="8"/>
      <c r="H27" s="2"/>
      <c r="I27" s="2"/>
      <c r="J27" s="2"/>
      <c r="K27" s="2"/>
      <c r="L27" s="2"/>
      <c r="M27" s="2"/>
    </row>
    <row r="28" spans="1:13" ht="18" x14ac:dyDescent="0.25">
      <c r="A28" s="8"/>
      <c r="B28" s="8"/>
      <c r="C28" s="77"/>
      <c r="D28" s="33"/>
      <c r="E28" s="8"/>
      <c r="F28" s="33"/>
      <c r="G28" s="8"/>
      <c r="H28" s="2"/>
      <c r="I28" s="2"/>
      <c r="J28" s="2"/>
      <c r="K28" s="2"/>
      <c r="L28" s="2"/>
      <c r="M28" s="2"/>
    </row>
    <row r="29" spans="1:13" ht="18" x14ac:dyDescent="0.25">
      <c r="A29" s="8"/>
      <c r="B29" s="8"/>
      <c r="C29" s="77"/>
      <c r="D29" s="33"/>
      <c r="E29" s="8"/>
      <c r="F29" s="33"/>
      <c r="G29" s="8"/>
      <c r="H29" s="2"/>
      <c r="I29" s="2"/>
      <c r="J29" s="2"/>
      <c r="K29" s="2"/>
      <c r="L29" s="2"/>
      <c r="M29" s="2"/>
    </row>
    <row r="30" spans="1:13" ht="18" x14ac:dyDescent="0.25">
      <c r="A30" s="8"/>
      <c r="B30" s="8"/>
      <c r="C30" s="77"/>
      <c r="D30" s="33"/>
      <c r="E30" s="8"/>
      <c r="F30" s="33"/>
      <c r="G30" s="8"/>
      <c r="H30" s="2"/>
      <c r="I30" s="2"/>
      <c r="J30" s="2"/>
      <c r="K30" s="2"/>
      <c r="L30" s="2"/>
      <c r="M30" s="2"/>
    </row>
    <row r="31" spans="1:13" ht="18" x14ac:dyDescent="0.25">
      <c r="A31" s="8"/>
      <c r="B31" s="8"/>
      <c r="C31" s="77"/>
      <c r="D31" s="33"/>
      <c r="E31" s="8"/>
      <c r="F31" s="33"/>
      <c r="G31" s="8"/>
      <c r="H31" s="2"/>
      <c r="I31" s="2"/>
      <c r="J31" s="2"/>
      <c r="K31" s="2"/>
      <c r="L31" s="2"/>
      <c r="M31" s="2"/>
    </row>
    <row r="32" spans="1:13" ht="18" x14ac:dyDescent="0.25">
      <c r="A32" s="8"/>
      <c r="B32" s="8"/>
      <c r="C32" s="77"/>
      <c r="D32" s="33"/>
      <c r="E32" s="8"/>
      <c r="F32" s="33"/>
      <c r="G32" s="8"/>
      <c r="H32" s="2"/>
      <c r="I32" s="2"/>
      <c r="J32" s="2"/>
      <c r="K32" s="2"/>
      <c r="L32" s="2"/>
      <c r="M32" s="2"/>
    </row>
    <row r="33" spans="1:13" ht="18" x14ac:dyDescent="0.25">
      <c r="A33" s="8"/>
      <c r="B33" s="8"/>
      <c r="C33" s="77"/>
      <c r="D33" s="33"/>
      <c r="E33" s="8"/>
      <c r="F33" s="33"/>
      <c r="G33" s="8"/>
      <c r="H33" s="2"/>
      <c r="I33" s="2"/>
      <c r="J33" s="2"/>
      <c r="K33" s="2"/>
      <c r="L33" s="2"/>
      <c r="M33" s="2"/>
    </row>
    <row r="34" spans="1:13" ht="18" x14ac:dyDescent="0.25">
      <c r="A34" s="8"/>
      <c r="B34" s="8"/>
      <c r="C34" s="77"/>
      <c r="D34" s="33"/>
      <c r="E34" s="8"/>
      <c r="F34" s="33"/>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Q34"/>
  <sheetViews>
    <sheetView rightToLeft="1" topLeftCell="A4" workbookViewId="0">
      <selection activeCell="G20" sqref="G20"/>
    </sheetView>
  </sheetViews>
  <sheetFormatPr defaultRowHeight="14.25" x14ac:dyDescent="0.2"/>
  <cols>
    <col min="1" max="2" width="4.375" style="3" customWidth="1"/>
    <col min="3" max="3" width="14.875" style="52" bestFit="1" customWidth="1"/>
    <col min="4" max="4" width="8.25" style="66" bestFit="1" customWidth="1"/>
    <col min="5" max="5" width="24.75" style="3" bestFit="1" customWidth="1"/>
    <col min="6" max="6" width="9.75" style="66" customWidth="1"/>
    <col min="7" max="7" width="9" style="3"/>
  </cols>
  <sheetData>
    <row r="2" spans="1:17" ht="26.25" x14ac:dyDescent="0.4">
      <c r="C2" s="99" t="s">
        <v>25</v>
      </c>
      <c r="D2" s="99"/>
      <c r="E2" s="99"/>
      <c r="F2" s="99"/>
      <c r="G2" s="99"/>
      <c r="H2" s="99"/>
      <c r="I2" s="99"/>
      <c r="J2" s="99"/>
      <c r="K2" s="99"/>
      <c r="L2" s="99"/>
      <c r="M2" s="99"/>
      <c r="N2" s="99"/>
      <c r="O2" s="99"/>
      <c r="P2" s="99"/>
      <c r="Q2" s="99"/>
    </row>
    <row r="3" spans="1:17" ht="56.25" x14ac:dyDescent="0.4">
      <c r="C3" s="57"/>
      <c r="D3" s="18" t="s">
        <v>8</v>
      </c>
      <c r="E3" s="18"/>
      <c r="F3" s="18" t="s">
        <v>18</v>
      </c>
      <c r="G3" s="1"/>
      <c r="H3" s="1"/>
      <c r="I3" s="1"/>
      <c r="J3" s="1"/>
      <c r="K3" s="1"/>
      <c r="L3" s="1"/>
      <c r="M3" s="1"/>
      <c r="N3" s="1"/>
      <c r="O3" s="1"/>
      <c r="P3" s="1"/>
      <c r="Q3" s="1"/>
    </row>
    <row r="4" spans="1:17" ht="18" x14ac:dyDescent="0.25">
      <c r="C4" s="49"/>
      <c r="D4" s="83">
        <f>SUM(D6:D2001)</f>
        <v>2700</v>
      </c>
      <c r="E4" s="11"/>
      <c r="F4" s="83">
        <f>SUM(F6:F2001)</f>
        <v>3600</v>
      </c>
    </row>
    <row r="5" spans="1:17" ht="36" x14ac:dyDescent="0.2">
      <c r="A5" s="4" t="s">
        <v>7</v>
      </c>
      <c r="B5" s="4" t="s">
        <v>17</v>
      </c>
      <c r="C5" s="50" t="s">
        <v>1</v>
      </c>
      <c r="D5" s="4" t="s">
        <v>2</v>
      </c>
      <c r="E5" s="4" t="s">
        <v>4</v>
      </c>
      <c r="F5" s="4" t="s">
        <v>19</v>
      </c>
      <c r="G5" s="4" t="s">
        <v>4</v>
      </c>
      <c r="H5" s="5"/>
      <c r="I5" s="5"/>
      <c r="J5" s="5"/>
      <c r="K5" s="5"/>
      <c r="L5" s="5"/>
      <c r="M5" s="5"/>
    </row>
    <row r="6" spans="1:17" ht="18" x14ac:dyDescent="0.25">
      <c r="A6" s="8">
        <v>1</v>
      </c>
      <c r="B6" s="33">
        <v>1</v>
      </c>
      <c r="C6" s="51">
        <v>45314</v>
      </c>
      <c r="D6" s="33">
        <v>300</v>
      </c>
      <c r="E6" s="8"/>
      <c r="F6" s="33">
        <v>300</v>
      </c>
      <c r="G6" s="8" t="s">
        <v>165</v>
      </c>
      <c r="H6" s="2"/>
      <c r="I6" s="2"/>
      <c r="J6" s="2"/>
      <c r="K6" s="2"/>
      <c r="L6" s="2"/>
      <c r="M6" s="2"/>
    </row>
    <row r="7" spans="1:17" ht="18" x14ac:dyDescent="0.25">
      <c r="A7" s="8">
        <v>2</v>
      </c>
      <c r="B7" s="33">
        <v>2</v>
      </c>
      <c r="C7" s="51">
        <v>45322</v>
      </c>
      <c r="D7" s="33">
        <v>300</v>
      </c>
      <c r="E7" s="8"/>
      <c r="F7" s="33">
        <v>300</v>
      </c>
      <c r="G7" s="8" t="s">
        <v>166</v>
      </c>
      <c r="H7" s="2"/>
      <c r="I7" s="2"/>
      <c r="J7" s="2"/>
      <c r="K7" s="2"/>
      <c r="L7" s="2"/>
      <c r="M7" s="2"/>
    </row>
    <row r="8" spans="1:17" ht="18" x14ac:dyDescent="0.25">
      <c r="A8" s="8">
        <v>3</v>
      </c>
      <c r="B8" s="33">
        <v>3</v>
      </c>
      <c r="C8" s="51">
        <v>46084</v>
      </c>
      <c r="D8" s="33">
        <v>300</v>
      </c>
      <c r="E8" s="8"/>
      <c r="F8" s="33">
        <v>300</v>
      </c>
      <c r="G8" s="8" t="s">
        <v>167</v>
      </c>
      <c r="H8" s="2"/>
      <c r="I8" s="2"/>
      <c r="J8" s="2"/>
      <c r="K8" s="2"/>
      <c r="L8" s="2"/>
      <c r="M8" s="2"/>
    </row>
    <row r="9" spans="1:17" ht="18" x14ac:dyDescent="0.25">
      <c r="A9" s="8">
        <v>4</v>
      </c>
      <c r="B9" s="33">
        <v>4</v>
      </c>
      <c r="C9" s="51">
        <v>45384</v>
      </c>
      <c r="D9" s="33">
        <v>300</v>
      </c>
      <c r="E9" s="8"/>
      <c r="F9" s="33">
        <v>300</v>
      </c>
      <c r="G9" s="8" t="s">
        <v>168</v>
      </c>
      <c r="H9" s="2"/>
      <c r="I9" s="2"/>
      <c r="J9" s="2"/>
      <c r="K9" s="2"/>
      <c r="L9" s="2"/>
      <c r="M9" s="2"/>
    </row>
    <row r="10" spans="1:17" ht="18" x14ac:dyDescent="0.25">
      <c r="A10" s="8">
        <v>5</v>
      </c>
      <c r="B10" s="33">
        <v>5</v>
      </c>
      <c r="C10" s="51">
        <v>45413</v>
      </c>
      <c r="D10" s="33">
        <v>300</v>
      </c>
      <c r="E10" s="8"/>
      <c r="F10" s="33">
        <v>300</v>
      </c>
      <c r="G10" s="8" t="s">
        <v>169</v>
      </c>
      <c r="H10" s="2"/>
      <c r="I10" s="2"/>
      <c r="J10" s="2"/>
      <c r="K10" s="2"/>
      <c r="L10" s="2"/>
      <c r="M10" s="2"/>
    </row>
    <row r="11" spans="1:17" ht="18" x14ac:dyDescent="0.25">
      <c r="A11" s="8">
        <v>6</v>
      </c>
      <c r="B11" s="33">
        <v>6</v>
      </c>
      <c r="C11" s="51">
        <v>45449</v>
      </c>
      <c r="D11" s="33">
        <v>300</v>
      </c>
      <c r="E11" s="8"/>
      <c r="F11" s="33">
        <v>300</v>
      </c>
      <c r="G11" s="8" t="s">
        <v>170</v>
      </c>
      <c r="H11" s="2"/>
      <c r="I11" s="2"/>
      <c r="J11" s="2"/>
      <c r="K11" s="2"/>
      <c r="L11" s="2"/>
      <c r="M11" s="2"/>
    </row>
    <row r="12" spans="1:17" ht="18" x14ac:dyDescent="0.25">
      <c r="A12" s="8">
        <v>7</v>
      </c>
      <c r="B12" s="33">
        <v>7</v>
      </c>
      <c r="C12" s="51">
        <v>45474</v>
      </c>
      <c r="D12" s="33">
        <v>300</v>
      </c>
      <c r="E12" s="8"/>
      <c r="F12" s="33">
        <v>300</v>
      </c>
      <c r="G12" s="8" t="s">
        <v>171</v>
      </c>
      <c r="H12" s="2"/>
      <c r="I12" s="2"/>
      <c r="J12" s="2"/>
      <c r="K12" s="2"/>
      <c r="L12" s="2"/>
      <c r="M12" s="2"/>
    </row>
    <row r="13" spans="1:17" ht="18" x14ac:dyDescent="0.25">
      <c r="A13" s="8">
        <v>8</v>
      </c>
      <c r="B13" s="33">
        <v>8</v>
      </c>
      <c r="C13" s="51">
        <v>46235</v>
      </c>
      <c r="D13" s="33">
        <v>300</v>
      </c>
      <c r="E13" s="8"/>
      <c r="F13" s="33">
        <v>300</v>
      </c>
      <c r="G13" s="8" t="s">
        <v>172</v>
      </c>
      <c r="H13" s="2"/>
      <c r="I13" s="2"/>
      <c r="J13" s="2"/>
      <c r="K13" s="2"/>
      <c r="L13" s="2"/>
      <c r="M13" s="2"/>
    </row>
    <row r="14" spans="1:17" ht="18" x14ac:dyDescent="0.25">
      <c r="A14" s="8">
        <v>9</v>
      </c>
      <c r="B14" s="33">
        <v>9</v>
      </c>
      <c r="C14" s="63">
        <v>46267</v>
      </c>
      <c r="D14" s="33">
        <v>300</v>
      </c>
      <c r="E14" s="8"/>
      <c r="F14" s="33">
        <v>300</v>
      </c>
      <c r="G14" s="8" t="s">
        <v>173</v>
      </c>
      <c r="H14" s="2"/>
      <c r="I14" s="2"/>
      <c r="J14" s="2"/>
      <c r="K14" s="2"/>
      <c r="L14" s="2"/>
      <c r="M14" s="2"/>
    </row>
    <row r="15" spans="1:17" ht="18" x14ac:dyDescent="0.25">
      <c r="A15" s="8">
        <v>10</v>
      </c>
      <c r="B15" s="33">
        <v>10</v>
      </c>
      <c r="C15" s="51">
        <v>45567</v>
      </c>
      <c r="D15" s="33"/>
      <c r="E15" s="8"/>
      <c r="F15" s="33">
        <v>300</v>
      </c>
      <c r="G15" s="8" t="s">
        <v>174</v>
      </c>
      <c r="H15" s="2"/>
      <c r="I15" s="2"/>
      <c r="J15" s="2"/>
      <c r="K15" s="2"/>
      <c r="L15" s="2"/>
      <c r="M15" s="2"/>
    </row>
    <row r="16" spans="1:17" ht="18" x14ac:dyDescent="0.25">
      <c r="A16" s="8">
        <v>11</v>
      </c>
      <c r="B16" s="33">
        <v>11</v>
      </c>
      <c r="C16" s="51">
        <v>45597</v>
      </c>
      <c r="D16" s="33"/>
      <c r="E16" s="8"/>
      <c r="F16" s="33">
        <v>300</v>
      </c>
      <c r="G16" s="8" t="s">
        <v>175</v>
      </c>
      <c r="H16" s="2"/>
      <c r="I16" s="2"/>
      <c r="J16" s="2"/>
      <c r="K16" s="2"/>
      <c r="L16" s="2"/>
      <c r="M16" s="2"/>
    </row>
    <row r="17" spans="1:13" ht="18" x14ac:dyDescent="0.25">
      <c r="A17" s="8">
        <v>12</v>
      </c>
      <c r="B17" s="33">
        <v>12</v>
      </c>
      <c r="C17" s="51">
        <v>46358</v>
      </c>
      <c r="D17" s="33"/>
      <c r="E17" s="8"/>
      <c r="F17" s="33">
        <v>300</v>
      </c>
      <c r="G17" s="8" t="s">
        <v>158</v>
      </c>
      <c r="H17" s="2"/>
      <c r="I17" s="2"/>
      <c r="J17" s="2"/>
      <c r="K17" s="2"/>
      <c r="L17" s="2"/>
      <c r="M17" s="2"/>
    </row>
    <row r="18" spans="1:13" ht="18" x14ac:dyDescent="0.25">
      <c r="A18" s="8"/>
      <c r="B18" s="8"/>
      <c r="C18" s="51"/>
      <c r="D18" s="33"/>
      <c r="E18" s="8"/>
      <c r="F18" s="33"/>
      <c r="G18" s="8"/>
      <c r="H18" s="2"/>
      <c r="I18" s="2"/>
      <c r="J18" s="2"/>
      <c r="K18" s="2"/>
      <c r="L18" s="2"/>
      <c r="M18" s="2"/>
    </row>
    <row r="19" spans="1:13" ht="18" x14ac:dyDescent="0.25">
      <c r="A19" s="8"/>
      <c r="B19" s="8"/>
      <c r="C19" s="51"/>
      <c r="D19" s="33"/>
      <c r="E19" s="8"/>
      <c r="F19" s="33"/>
      <c r="G19" s="8"/>
      <c r="H19" s="2"/>
      <c r="I19" s="2"/>
      <c r="J19" s="2"/>
      <c r="K19" s="2"/>
      <c r="L19" s="2"/>
      <c r="M19" s="2"/>
    </row>
    <row r="20" spans="1:13" ht="18" x14ac:dyDescent="0.25">
      <c r="A20" s="8"/>
      <c r="B20" s="8"/>
      <c r="C20" s="51"/>
      <c r="D20" s="33"/>
      <c r="E20" s="8"/>
      <c r="F20" s="33"/>
      <c r="G20" s="8"/>
      <c r="H20" s="2"/>
      <c r="I20" s="2"/>
      <c r="J20" s="2"/>
      <c r="K20" s="2"/>
      <c r="L20" s="2"/>
      <c r="M20" s="2"/>
    </row>
    <row r="21" spans="1:13" ht="18" x14ac:dyDescent="0.25">
      <c r="A21" s="8"/>
      <c r="B21" s="8"/>
      <c r="C21" s="51"/>
      <c r="D21" s="33"/>
      <c r="E21" s="8"/>
      <c r="F21" s="33"/>
      <c r="G21" s="8"/>
      <c r="H21" s="2"/>
      <c r="I21" s="2"/>
      <c r="J21" s="2"/>
      <c r="K21" s="2"/>
      <c r="L21" s="2"/>
      <c r="M21" s="2"/>
    </row>
    <row r="22" spans="1:13" ht="18" x14ac:dyDescent="0.25">
      <c r="A22" s="8"/>
      <c r="B22" s="8"/>
      <c r="C22" s="51"/>
      <c r="D22" s="33"/>
      <c r="E22" s="8"/>
      <c r="F22" s="33"/>
      <c r="G22" s="8"/>
      <c r="H22" s="2"/>
      <c r="I22" s="2"/>
      <c r="J22" s="2"/>
      <c r="K22" s="2"/>
      <c r="L22" s="2"/>
      <c r="M22" s="2"/>
    </row>
    <row r="23" spans="1:13" ht="18" x14ac:dyDescent="0.25">
      <c r="A23" s="8"/>
      <c r="B23" s="8"/>
      <c r="C23" s="51"/>
      <c r="D23" s="33"/>
      <c r="E23" s="8"/>
      <c r="F23" s="33"/>
      <c r="G23" s="8"/>
      <c r="H23" s="2"/>
      <c r="I23" s="2"/>
      <c r="J23" s="2"/>
      <c r="K23" s="2"/>
      <c r="L23" s="2"/>
      <c r="M23" s="2"/>
    </row>
    <row r="24" spans="1:13" ht="18" x14ac:dyDescent="0.25">
      <c r="A24" s="8"/>
      <c r="B24" s="8"/>
      <c r="C24" s="51"/>
      <c r="D24" s="33"/>
      <c r="E24" s="8"/>
      <c r="F24" s="33"/>
      <c r="G24" s="8"/>
      <c r="H24" s="2"/>
      <c r="I24" s="2"/>
      <c r="J24" s="2"/>
      <c r="K24" s="2"/>
      <c r="L24" s="2"/>
      <c r="M24" s="2"/>
    </row>
    <row r="25" spans="1:13" ht="18" x14ac:dyDescent="0.25">
      <c r="A25" s="8"/>
      <c r="B25" s="8"/>
      <c r="C25" s="51"/>
      <c r="D25" s="33"/>
      <c r="E25" s="8"/>
      <c r="F25" s="33"/>
      <c r="G25" s="8"/>
      <c r="H25" s="2"/>
      <c r="I25" s="2"/>
      <c r="J25" s="2"/>
      <c r="K25" s="2"/>
      <c r="L25" s="2"/>
      <c r="M25" s="2"/>
    </row>
    <row r="26" spans="1:13" ht="18" x14ac:dyDescent="0.25">
      <c r="A26" s="8"/>
      <c r="B26" s="8"/>
      <c r="C26" s="51"/>
      <c r="D26" s="33"/>
      <c r="E26" s="8"/>
      <c r="F26" s="33"/>
      <c r="G26" s="8"/>
      <c r="H26" s="2"/>
      <c r="I26" s="2"/>
      <c r="J26" s="2"/>
      <c r="K26" s="2"/>
      <c r="L26" s="2"/>
      <c r="M26" s="2"/>
    </row>
    <row r="27" spans="1:13" ht="18" x14ac:dyDescent="0.25">
      <c r="A27" s="8"/>
      <c r="B27" s="8"/>
      <c r="C27" s="51"/>
      <c r="D27" s="33"/>
      <c r="E27" s="8"/>
      <c r="F27" s="33"/>
      <c r="G27" s="8"/>
      <c r="H27" s="2"/>
      <c r="I27" s="2"/>
      <c r="J27" s="2"/>
      <c r="K27" s="2"/>
      <c r="L27" s="2"/>
      <c r="M27" s="2"/>
    </row>
    <row r="28" spans="1:13" ht="18" x14ac:dyDescent="0.25">
      <c r="A28" s="8"/>
      <c r="B28" s="8"/>
      <c r="C28" s="51"/>
      <c r="D28" s="33"/>
      <c r="E28" s="8"/>
      <c r="F28" s="33"/>
      <c r="G28" s="8"/>
      <c r="H28" s="2"/>
      <c r="I28" s="2"/>
      <c r="J28" s="2"/>
      <c r="K28" s="2"/>
      <c r="L28" s="2"/>
      <c r="M28" s="2"/>
    </row>
    <row r="29" spans="1:13" ht="18" x14ac:dyDescent="0.25">
      <c r="A29" s="8"/>
      <c r="B29" s="8"/>
      <c r="C29" s="51"/>
      <c r="D29" s="33"/>
      <c r="E29" s="8"/>
      <c r="F29" s="33"/>
      <c r="G29" s="8"/>
      <c r="H29" s="2"/>
      <c r="I29" s="2"/>
      <c r="J29" s="2"/>
      <c r="K29" s="2"/>
      <c r="L29" s="2"/>
      <c r="M29" s="2"/>
    </row>
    <row r="30" spans="1:13" ht="18" x14ac:dyDescent="0.25">
      <c r="A30" s="8"/>
      <c r="B30" s="8"/>
      <c r="C30" s="51"/>
      <c r="D30" s="33"/>
      <c r="E30" s="8"/>
      <c r="F30" s="33"/>
      <c r="G30" s="8"/>
      <c r="H30" s="2"/>
      <c r="I30" s="2"/>
      <c r="J30" s="2"/>
      <c r="K30" s="2"/>
      <c r="L30" s="2"/>
      <c r="M30" s="2"/>
    </row>
    <row r="31" spans="1:13" ht="18" x14ac:dyDescent="0.25">
      <c r="A31" s="8"/>
      <c r="B31" s="8"/>
      <c r="C31" s="51"/>
      <c r="D31" s="33"/>
      <c r="E31" s="8"/>
      <c r="F31" s="33"/>
      <c r="G31" s="8"/>
      <c r="H31" s="2"/>
      <c r="I31" s="2"/>
      <c r="J31" s="2"/>
      <c r="K31" s="2"/>
      <c r="L31" s="2"/>
      <c r="M31" s="2"/>
    </row>
    <row r="32" spans="1:13" ht="18" x14ac:dyDescent="0.25">
      <c r="A32" s="8"/>
      <c r="B32" s="8"/>
      <c r="C32" s="51"/>
      <c r="D32" s="33"/>
      <c r="E32" s="8"/>
      <c r="F32" s="33"/>
      <c r="G32" s="8"/>
      <c r="H32" s="2"/>
      <c r="I32" s="2"/>
      <c r="J32" s="2"/>
      <c r="K32" s="2"/>
      <c r="L32" s="2"/>
      <c r="M32" s="2"/>
    </row>
    <row r="33" spans="1:13" ht="18" x14ac:dyDescent="0.25">
      <c r="A33" s="8"/>
      <c r="B33" s="8"/>
      <c r="C33" s="51"/>
      <c r="D33" s="33"/>
      <c r="E33" s="8"/>
      <c r="F33" s="33"/>
      <c r="G33" s="8"/>
      <c r="H33" s="2"/>
      <c r="I33" s="2"/>
      <c r="J33" s="2"/>
      <c r="K33" s="2"/>
      <c r="L33" s="2"/>
      <c r="M33" s="2"/>
    </row>
    <row r="34" spans="1:13" ht="18" x14ac:dyDescent="0.25">
      <c r="A34" s="8"/>
      <c r="B34" s="8"/>
      <c r="C34" s="51"/>
      <c r="D34" s="33"/>
      <c r="E34" s="8"/>
      <c r="F34" s="33"/>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Q34"/>
  <sheetViews>
    <sheetView rightToLeft="1" topLeftCell="A4" workbookViewId="0">
      <selection activeCell="D6" sqref="D6:D17"/>
    </sheetView>
  </sheetViews>
  <sheetFormatPr defaultRowHeight="14.25" x14ac:dyDescent="0.2"/>
  <cols>
    <col min="1" max="2" width="4.375" style="3" customWidth="1"/>
    <col min="3" max="3" width="14.875" style="7" bestFit="1" customWidth="1"/>
    <col min="4" max="4" width="8.25" style="3" bestFit="1" customWidth="1"/>
    <col min="5" max="5" width="24.75" style="3" bestFit="1" customWidth="1"/>
    <col min="6" max="6" width="9.75" style="3" customWidth="1"/>
    <col min="7" max="7" width="9" style="3"/>
  </cols>
  <sheetData>
    <row r="2" spans="1:17" ht="26.25" x14ac:dyDescent="0.4">
      <c r="C2" s="99" t="s">
        <v>26</v>
      </c>
      <c r="D2" s="99"/>
      <c r="E2" s="99"/>
      <c r="F2" s="99"/>
      <c r="G2" s="99"/>
      <c r="H2" s="99"/>
      <c r="I2" s="99"/>
      <c r="J2" s="99"/>
      <c r="K2" s="99"/>
      <c r="L2" s="99"/>
      <c r="M2" s="99"/>
      <c r="N2" s="99"/>
      <c r="O2" s="99"/>
      <c r="P2" s="99"/>
      <c r="Q2" s="99"/>
    </row>
    <row r="3" spans="1:17" ht="56.25" x14ac:dyDescent="0.4">
      <c r="C3" s="1"/>
      <c r="D3" s="18" t="s">
        <v>8</v>
      </c>
      <c r="E3" s="18"/>
      <c r="F3" s="18" t="s">
        <v>18</v>
      </c>
      <c r="G3" s="1"/>
      <c r="H3" s="1"/>
      <c r="I3" s="1"/>
      <c r="J3" s="1"/>
      <c r="K3" s="1"/>
      <c r="L3" s="1"/>
      <c r="M3" s="1"/>
      <c r="N3" s="1"/>
      <c r="O3" s="1"/>
      <c r="P3" s="1"/>
      <c r="Q3" s="1"/>
    </row>
    <row r="4" spans="1:17" ht="18" x14ac:dyDescent="0.25">
      <c r="C4" s="10"/>
      <c r="D4" s="11">
        <f>SUM(D6:D2001)</f>
        <v>3600</v>
      </c>
      <c r="E4" s="11"/>
      <c r="F4" s="11">
        <f>SUM(F6:F2001)</f>
        <v>3600</v>
      </c>
    </row>
    <row r="5" spans="1:17" ht="36" x14ac:dyDescent="0.2">
      <c r="A5" s="4" t="s">
        <v>7</v>
      </c>
      <c r="B5" s="4" t="s">
        <v>17</v>
      </c>
      <c r="C5" s="6" t="s">
        <v>1</v>
      </c>
      <c r="D5" s="4" t="s">
        <v>2</v>
      </c>
      <c r="E5" s="4" t="s">
        <v>4</v>
      </c>
      <c r="F5" s="4" t="s">
        <v>19</v>
      </c>
      <c r="G5" s="4" t="s">
        <v>4</v>
      </c>
      <c r="H5" s="5"/>
      <c r="I5" s="5"/>
      <c r="J5" s="5"/>
      <c r="K5" s="5"/>
      <c r="L5" s="5"/>
      <c r="M5" s="5"/>
    </row>
    <row r="6" spans="1:17" ht="18" x14ac:dyDescent="0.25">
      <c r="A6" s="8">
        <v>1</v>
      </c>
      <c r="B6" s="8">
        <v>1</v>
      </c>
      <c r="C6" s="9">
        <v>46142</v>
      </c>
      <c r="D6" s="8">
        <v>300</v>
      </c>
      <c r="E6" s="8"/>
      <c r="F6" s="8">
        <v>300</v>
      </c>
      <c r="G6" s="8" t="s">
        <v>229</v>
      </c>
      <c r="H6" s="2"/>
      <c r="I6" s="2"/>
      <c r="J6" s="2"/>
      <c r="K6" s="2"/>
      <c r="L6" s="2"/>
      <c r="M6" s="2"/>
    </row>
    <row r="7" spans="1:17" ht="18" x14ac:dyDescent="0.25">
      <c r="A7" s="8">
        <v>2</v>
      </c>
      <c r="B7" s="8">
        <v>2</v>
      </c>
      <c r="C7" s="9">
        <v>46142</v>
      </c>
      <c r="D7" s="8">
        <v>300</v>
      </c>
      <c r="E7" s="8"/>
      <c r="F7" s="8">
        <v>300</v>
      </c>
      <c r="G7" s="8" t="s">
        <v>230</v>
      </c>
      <c r="H7" s="2"/>
      <c r="I7" s="2"/>
      <c r="J7" s="2"/>
      <c r="K7" s="2"/>
      <c r="L7" s="2"/>
      <c r="M7" s="2"/>
    </row>
    <row r="8" spans="1:17" ht="18" x14ac:dyDescent="0.25">
      <c r="A8" s="8">
        <v>3</v>
      </c>
      <c r="B8" s="8">
        <v>3</v>
      </c>
      <c r="C8" s="9">
        <v>46142</v>
      </c>
      <c r="D8" s="8">
        <v>300</v>
      </c>
      <c r="E8" s="8"/>
      <c r="F8" s="8">
        <v>300</v>
      </c>
      <c r="G8" s="8" t="s">
        <v>100</v>
      </c>
      <c r="H8" s="2"/>
      <c r="I8" s="2"/>
      <c r="J8" s="2"/>
      <c r="K8" s="2"/>
      <c r="L8" s="2"/>
      <c r="M8" s="2"/>
    </row>
    <row r="9" spans="1:17" ht="18" x14ac:dyDescent="0.25">
      <c r="A9" s="8">
        <v>4</v>
      </c>
      <c r="B9" s="8">
        <v>4</v>
      </c>
      <c r="C9" s="9">
        <v>46142</v>
      </c>
      <c r="D9" s="8">
        <v>300</v>
      </c>
      <c r="E9" s="8"/>
      <c r="F9" s="8">
        <v>300</v>
      </c>
      <c r="G9" s="8" t="s">
        <v>101</v>
      </c>
      <c r="H9" s="2"/>
      <c r="I9" s="2"/>
      <c r="J9" s="2"/>
      <c r="K9" s="2"/>
      <c r="L9" s="2"/>
      <c r="M9" s="2"/>
    </row>
    <row r="10" spans="1:17" ht="18" x14ac:dyDescent="0.25">
      <c r="A10" s="8">
        <v>5</v>
      </c>
      <c r="B10" s="8">
        <v>5</v>
      </c>
      <c r="C10" s="9">
        <v>46142</v>
      </c>
      <c r="D10" s="8">
        <v>300</v>
      </c>
      <c r="E10" s="8"/>
      <c r="F10" s="8">
        <v>300</v>
      </c>
      <c r="G10" s="8" t="s">
        <v>102</v>
      </c>
      <c r="H10" s="2"/>
      <c r="I10" s="2"/>
      <c r="J10" s="2"/>
      <c r="K10" s="2"/>
      <c r="L10" s="2"/>
      <c r="M10" s="2"/>
    </row>
    <row r="11" spans="1:17" ht="18" x14ac:dyDescent="0.25">
      <c r="A11" s="8">
        <v>6</v>
      </c>
      <c r="B11" s="8">
        <v>6</v>
      </c>
      <c r="C11" s="9">
        <v>46142</v>
      </c>
      <c r="D11" s="8">
        <v>300</v>
      </c>
      <c r="E11" s="8"/>
      <c r="F11" s="8">
        <v>300</v>
      </c>
      <c r="G11" s="8" t="s">
        <v>103</v>
      </c>
      <c r="H11" s="2"/>
      <c r="I11" s="2"/>
      <c r="J11" s="2"/>
      <c r="K11" s="2"/>
      <c r="L11" s="2"/>
      <c r="M11" s="2"/>
    </row>
    <row r="12" spans="1:17" ht="18" x14ac:dyDescent="0.25">
      <c r="A12" s="8">
        <v>7</v>
      </c>
      <c r="B12" s="8">
        <v>7</v>
      </c>
      <c r="C12" s="9">
        <v>46142</v>
      </c>
      <c r="D12" s="8">
        <v>300</v>
      </c>
      <c r="E12" s="8"/>
      <c r="F12" s="8">
        <v>300</v>
      </c>
      <c r="G12" s="8" t="s">
        <v>104</v>
      </c>
      <c r="H12" s="2"/>
      <c r="I12" s="2"/>
      <c r="J12" s="2"/>
      <c r="K12" s="2"/>
      <c r="L12" s="2"/>
      <c r="M12" s="2"/>
    </row>
    <row r="13" spans="1:17" ht="18" x14ac:dyDescent="0.25">
      <c r="A13" s="8">
        <v>8</v>
      </c>
      <c r="B13" s="8">
        <v>8</v>
      </c>
      <c r="C13" s="9">
        <v>46142</v>
      </c>
      <c r="D13" s="8">
        <v>300</v>
      </c>
      <c r="E13" s="8"/>
      <c r="F13" s="8">
        <v>300</v>
      </c>
      <c r="G13" s="8" t="s">
        <v>105</v>
      </c>
      <c r="H13" s="2"/>
      <c r="I13" s="2"/>
      <c r="J13" s="2"/>
      <c r="K13" s="2"/>
      <c r="L13" s="2"/>
      <c r="M13" s="2"/>
    </row>
    <row r="14" spans="1:17" ht="18" x14ac:dyDescent="0.25">
      <c r="A14" s="8">
        <v>9</v>
      </c>
      <c r="B14" s="8">
        <v>9</v>
      </c>
      <c r="C14" s="9">
        <v>46142</v>
      </c>
      <c r="D14" s="8">
        <v>300</v>
      </c>
      <c r="E14" s="8"/>
      <c r="F14" s="8">
        <v>300</v>
      </c>
      <c r="G14" s="8" t="s">
        <v>106</v>
      </c>
      <c r="H14" s="2"/>
      <c r="I14" s="2"/>
      <c r="J14" s="2"/>
      <c r="K14" s="2"/>
      <c r="L14" s="2"/>
      <c r="M14" s="2"/>
    </row>
    <row r="15" spans="1:17" ht="18" x14ac:dyDescent="0.25">
      <c r="A15" s="8">
        <v>10</v>
      </c>
      <c r="B15" s="8">
        <v>10</v>
      </c>
      <c r="C15" s="9">
        <v>46142</v>
      </c>
      <c r="D15" s="8">
        <v>300</v>
      </c>
      <c r="E15" s="8"/>
      <c r="F15" s="8">
        <v>300</v>
      </c>
      <c r="G15" s="8" t="s">
        <v>107</v>
      </c>
      <c r="H15" s="2"/>
      <c r="I15" s="2"/>
      <c r="J15" s="2"/>
      <c r="K15" s="2"/>
      <c r="L15" s="2"/>
      <c r="M15" s="2"/>
    </row>
    <row r="16" spans="1:17" ht="18" x14ac:dyDescent="0.25">
      <c r="A16" s="8">
        <v>11</v>
      </c>
      <c r="B16" s="8">
        <v>11</v>
      </c>
      <c r="C16" s="9">
        <v>46142</v>
      </c>
      <c r="D16" s="8">
        <v>300</v>
      </c>
      <c r="E16" s="8"/>
      <c r="F16" s="8">
        <v>300</v>
      </c>
      <c r="G16" s="8" t="s">
        <v>108</v>
      </c>
      <c r="H16" s="2"/>
      <c r="I16" s="2"/>
      <c r="J16" s="2"/>
      <c r="K16" s="2"/>
      <c r="L16" s="2"/>
      <c r="M16" s="2"/>
    </row>
    <row r="17" spans="1:13" ht="18" x14ac:dyDescent="0.25">
      <c r="A17" s="8">
        <v>12</v>
      </c>
      <c r="B17" s="8">
        <v>12</v>
      </c>
      <c r="C17" s="9">
        <v>46142</v>
      </c>
      <c r="D17" s="8">
        <v>300</v>
      </c>
      <c r="E17" s="8"/>
      <c r="F17" s="8">
        <v>300</v>
      </c>
      <c r="G17" s="8" t="s">
        <v>109</v>
      </c>
      <c r="H17" s="2"/>
      <c r="I17" s="2"/>
      <c r="J17" s="2"/>
      <c r="K17" s="2" t="s">
        <v>189</v>
      </c>
      <c r="L17" s="2"/>
      <c r="M17" s="2"/>
    </row>
    <row r="18" spans="1:13" ht="18" x14ac:dyDescent="0.25">
      <c r="A18" s="8"/>
      <c r="B18" s="8"/>
      <c r="C18" s="9"/>
      <c r="D18" s="8"/>
      <c r="E18" s="8"/>
      <c r="F18" s="8"/>
      <c r="G18" s="8"/>
      <c r="H18" s="2"/>
      <c r="I18" s="2"/>
      <c r="J18" s="2"/>
      <c r="K18" s="2"/>
      <c r="L18" s="2"/>
      <c r="M18" s="2"/>
    </row>
    <row r="19" spans="1:13" ht="18" x14ac:dyDescent="0.25">
      <c r="A19" s="8"/>
      <c r="B19" s="8"/>
      <c r="C19" s="9"/>
      <c r="D19" s="8"/>
      <c r="E19" s="8"/>
      <c r="F19" s="8"/>
      <c r="G19" s="8"/>
      <c r="H19" s="2"/>
      <c r="I19" s="2"/>
      <c r="J19" s="2"/>
      <c r="K19" s="2"/>
      <c r="L19" s="2"/>
      <c r="M19" s="2"/>
    </row>
    <row r="20" spans="1:13" ht="18" x14ac:dyDescent="0.25">
      <c r="A20" s="8"/>
      <c r="B20" s="8"/>
      <c r="C20" s="9"/>
      <c r="D20" s="8"/>
      <c r="E20" s="8"/>
      <c r="F20" s="8"/>
      <c r="G20" s="8"/>
      <c r="H20" s="2"/>
      <c r="I20" s="2"/>
      <c r="J20" s="2"/>
      <c r="K20" s="2"/>
      <c r="L20" s="2"/>
      <c r="M20" s="2"/>
    </row>
    <row r="21" spans="1:13" ht="18" x14ac:dyDescent="0.25">
      <c r="A21" s="8"/>
      <c r="B21" s="8"/>
      <c r="C21" s="9"/>
      <c r="D21" s="8"/>
      <c r="E21" s="8"/>
      <c r="F21" s="8"/>
      <c r="G21" s="8"/>
      <c r="H21" s="2"/>
      <c r="I21" s="2"/>
      <c r="J21" s="2"/>
      <c r="K21" s="2"/>
      <c r="L21" s="2"/>
      <c r="M21" s="2"/>
    </row>
    <row r="22" spans="1:13" ht="18" x14ac:dyDescent="0.25">
      <c r="A22" s="8"/>
      <c r="B22" s="8"/>
      <c r="C22" s="9"/>
      <c r="D22" s="8"/>
      <c r="E22" s="8"/>
      <c r="F22" s="8"/>
      <c r="G22" s="8"/>
      <c r="H22" s="2"/>
      <c r="I22" s="2"/>
      <c r="J22" s="2"/>
      <c r="K22" s="2"/>
      <c r="L22" s="2"/>
      <c r="M22" s="2"/>
    </row>
    <row r="23" spans="1:13" ht="18" x14ac:dyDescent="0.25">
      <c r="A23" s="8"/>
      <c r="B23" s="8"/>
      <c r="C23" s="9"/>
      <c r="D23" s="8"/>
      <c r="E23" s="8"/>
      <c r="F23" s="8"/>
      <c r="G23" s="8"/>
      <c r="H23" s="2"/>
      <c r="I23" s="2"/>
      <c r="J23" s="2"/>
      <c r="K23" s="2"/>
      <c r="L23" s="2"/>
      <c r="M23" s="2"/>
    </row>
    <row r="24" spans="1:13" ht="18" x14ac:dyDescent="0.25">
      <c r="A24" s="8"/>
      <c r="B24" s="8"/>
      <c r="C24" s="9"/>
      <c r="D24" s="8"/>
      <c r="E24" s="8"/>
      <c r="F24" s="8"/>
      <c r="G24" s="8"/>
      <c r="H24" s="2"/>
      <c r="I24" s="2"/>
      <c r="J24" s="2"/>
      <c r="K24" s="2"/>
      <c r="L24" s="2"/>
      <c r="M24" s="2"/>
    </row>
    <row r="25" spans="1:13" ht="18" x14ac:dyDescent="0.25">
      <c r="A25" s="8"/>
      <c r="B25" s="8"/>
      <c r="C25" s="9"/>
      <c r="D25" s="8"/>
      <c r="E25" s="8"/>
      <c r="F25" s="8"/>
      <c r="G25" s="8"/>
      <c r="H25" s="2"/>
      <c r="I25" s="2"/>
      <c r="J25" s="2"/>
      <c r="K25" s="2"/>
      <c r="L25" s="2"/>
      <c r="M25" s="2"/>
    </row>
    <row r="26" spans="1:13" ht="18" x14ac:dyDescent="0.25">
      <c r="A26" s="8"/>
      <c r="B26" s="8"/>
      <c r="C26" s="9"/>
      <c r="D26" s="8"/>
      <c r="E26" s="8"/>
      <c r="F26" s="8"/>
      <c r="G26" s="8"/>
      <c r="H26" s="2"/>
      <c r="I26" s="2"/>
      <c r="J26" s="2"/>
      <c r="K26" s="2"/>
      <c r="L26" s="2"/>
      <c r="M26" s="2"/>
    </row>
    <row r="27" spans="1:13" ht="18" x14ac:dyDescent="0.25">
      <c r="A27" s="8"/>
      <c r="B27" s="8"/>
      <c r="C27" s="9"/>
      <c r="D27" s="8"/>
      <c r="E27" s="8"/>
      <c r="F27" s="8"/>
      <c r="G27" s="8"/>
      <c r="H27" s="2"/>
      <c r="I27" s="2"/>
      <c r="J27" s="2"/>
      <c r="K27" s="2"/>
      <c r="L27" s="2"/>
      <c r="M27" s="2"/>
    </row>
    <row r="28" spans="1:13" ht="18" x14ac:dyDescent="0.25">
      <c r="A28" s="8"/>
      <c r="B28" s="8"/>
      <c r="C28" s="9"/>
      <c r="D28" s="8"/>
      <c r="E28" s="8"/>
      <c r="F28" s="8"/>
      <c r="G28" s="8"/>
      <c r="H28" s="2"/>
      <c r="I28" s="2"/>
      <c r="J28" s="2"/>
      <c r="K28" s="2"/>
      <c r="L28" s="2"/>
      <c r="M28" s="2"/>
    </row>
    <row r="29" spans="1:13" ht="18" x14ac:dyDescent="0.25">
      <c r="A29" s="8"/>
      <c r="B29" s="8"/>
      <c r="C29" s="9"/>
      <c r="D29" s="8"/>
      <c r="E29" s="8"/>
      <c r="F29" s="8"/>
      <c r="G29" s="8"/>
      <c r="H29" s="2"/>
      <c r="I29" s="2"/>
      <c r="J29" s="2"/>
      <c r="K29" s="2"/>
      <c r="L29" s="2"/>
      <c r="M29" s="2"/>
    </row>
    <row r="30" spans="1:13" ht="18" x14ac:dyDescent="0.25">
      <c r="A30" s="8"/>
      <c r="B30" s="8"/>
      <c r="C30" s="9"/>
      <c r="D30" s="8"/>
      <c r="E30" s="8"/>
      <c r="F30" s="8"/>
      <c r="G30" s="8"/>
      <c r="H30" s="2"/>
      <c r="I30" s="2"/>
      <c r="J30" s="2"/>
      <c r="K30" s="2"/>
      <c r="L30" s="2"/>
      <c r="M30" s="2"/>
    </row>
    <row r="31" spans="1:13" ht="18" x14ac:dyDescent="0.25">
      <c r="A31" s="8"/>
      <c r="B31" s="8"/>
      <c r="C31" s="9"/>
      <c r="D31" s="8"/>
      <c r="E31" s="8"/>
      <c r="F31" s="8"/>
      <c r="G31" s="8"/>
      <c r="H31" s="2"/>
      <c r="I31" s="2"/>
      <c r="J31" s="2"/>
      <c r="K31" s="2"/>
      <c r="L31" s="2"/>
      <c r="M31" s="2"/>
    </row>
    <row r="32" spans="1:13" ht="18" x14ac:dyDescent="0.25">
      <c r="A32" s="8"/>
      <c r="B32" s="8"/>
      <c r="C32" s="9"/>
      <c r="D32" s="8"/>
      <c r="E32" s="8"/>
      <c r="F32" s="8"/>
      <c r="G32" s="8"/>
      <c r="H32" s="2"/>
      <c r="I32" s="2"/>
      <c r="J32" s="2"/>
      <c r="K32" s="2"/>
      <c r="L32" s="2"/>
      <c r="M32" s="2"/>
    </row>
    <row r="33" spans="1:13" ht="18" x14ac:dyDescent="0.25">
      <c r="A33" s="8"/>
      <c r="B33" s="8"/>
      <c r="C33" s="9"/>
      <c r="D33" s="8"/>
      <c r="E33" s="8"/>
      <c r="F33" s="8"/>
      <c r="G33" s="8"/>
      <c r="H33" s="2"/>
      <c r="I33" s="2"/>
      <c r="J33" s="2"/>
      <c r="K33" s="2"/>
      <c r="L33" s="2"/>
      <c r="M33" s="2"/>
    </row>
    <row r="34" spans="1:13" ht="18" x14ac:dyDescent="0.25">
      <c r="A34" s="8"/>
      <c r="B34" s="8"/>
      <c r="C34" s="9"/>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Q34"/>
  <sheetViews>
    <sheetView rightToLeft="1" topLeftCell="B4" workbookViewId="0">
      <selection activeCell="J21" sqref="J21"/>
    </sheetView>
  </sheetViews>
  <sheetFormatPr defaultRowHeight="14.25" x14ac:dyDescent="0.2"/>
  <cols>
    <col min="1" max="2" width="4.375" style="3" customWidth="1"/>
    <col min="3" max="3" width="14.875" style="78" bestFit="1" customWidth="1"/>
    <col min="4" max="4" width="8.25" style="82" bestFit="1" customWidth="1"/>
    <col min="5" max="5" width="24.75" style="3" bestFit="1" customWidth="1"/>
    <col min="6" max="6" width="9.75" style="3" customWidth="1"/>
    <col min="7" max="7" width="9" style="3"/>
  </cols>
  <sheetData>
    <row r="2" spans="1:17" ht="26.25" x14ac:dyDescent="0.4">
      <c r="C2" s="99" t="s">
        <v>116</v>
      </c>
      <c r="D2" s="99"/>
      <c r="E2" s="99"/>
      <c r="F2" s="99"/>
      <c r="G2" s="99"/>
      <c r="H2" s="99"/>
      <c r="I2" s="99"/>
      <c r="J2" s="99"/>
      <c r="K2" s="99"/>
      <c r="L2" s="99"/>
      <c r="M2" s="99"/>
      <c r="N2" s="99"/>
      <c r="O2" s="99"/>
      <c r="P2" s="99"/>
      <c r="Q2" s="99"/>
    </row>
    <row r="3" spans="1:17" ht="56.25" x14ac:dyDescent="0.4">
      <c r="C3" s="75"/>
      <c r="D3" s="79" t="s">
        <v>8</v>
      </c>
      <c r="E3" s="18"/>
      <c r="F3" s="18" t="s">
        <v>18</v>
      </c>
      <c r="G3" s="1"/>
      <c r="H3" s="1"/>
      <c r="I3" s="1"/>
      <c r="J3" s="1"/>
      <c r="K3" s="1"/>
      <c r="L3" s="1"/>
      <c r="M3" s="1"/>
      <c r="N3" s="1"/>
      <c r="O3" s="1"/>
      <c r="P3" s="1"/>
      <c r="Q3" s="1"/>
    </row>
    <row r="4" spans="1:17" ht="18" x14ac:dyDescent="0.25">
      <c r="C4" s="76"/>
      <c r="D4" s="80">
        <f>SUM(D6:D2001)</f>
        <v>1500</v>
      </c>
      <c r="E4" s="11"/>
      <c r="F4" s="11">
        <f>SUM(F6:F2001)</f>
        <v>3600</v>
      </c>
    </row>
    <row r="5" spans="1:17" ht="36" x14ac:dyDescent="0.2">
      <c r="A5" s="4" t="s">
        <v>7</v>
      </c>
      <c r="B5" s="4" t="s">
        <v>17</v>
      </c>
      <c r="C5" s="50" t="s">
        <v>1</v>
      </c>
      <c r="D5" s="54" t="s">
        <v>2</v>
      </c>
      <c r="E5" s="4" t="s">
        <v>4</v>
      </c>
      <c r="F5" s="4" t="s">
        <v>19</v>
      </c>
      <c r="G5" s="4" t="s">
        <v>4</v>
      </c>
      <c r="H5" s="5"/>
      <c r="I5" s="5"/>
      <c r="J5" s="5"/>
      <c r="K5" s="5"/>
      <c r="L5" s="5"/>
      <c r="M5" s="5"/>
    </row>
    <row r="6" spans="1:17" ht="18" x14ac:dyDescent="0.25">
      <c r="A6" s="8">
        <v>1</v>
      </c>
      <c r="B6" s="8">
        <v>1</v>
      </c>
      <c r="C6" s="77">
        <v>46335</v>
      </c>
      <c r="D6" s="81">
        <v>300</v>
      </c>
      <c r="E6" s="8"/>
      <c r="F6" s="8">
        <v>300</v>
      </c>
      <c r="G6" s="8" t="s">
        <v>229</v>
      </c>
      <c r="H6" s="2"/>
      <c r="I6" s="2"/>
      <c r="J6" s="2"/>
      <c r="K6" s="2"/>
      <c r="L6" s="2"/>
      <c r="M6" s="2"/>
    </row>
    <row r="7" spans="1:17" ht="18" x14ac:dyDescent="0.25">
      <c r="A7" s="8">
        <v>2</v>
      </c>
      <c r="B7" s="8"/>
      <c r="C7" s="77">
        <v>46335</v>
      </c>
      <c r="D7" s="81">
        <v>300</v>
      </c>
      <c r="E7" s="8"/>
      <c r="F7" s="8">
        <v>300</v>
      </c>
      <c r="G7" s="8" t="s">
        <v>230</v>
      </c>
      <c r="H7" s="2"/>
      <c r="I7" s="2"/>
      <c r="J7" s="2"/>
      <c r="K7" s="2"/>
      <c r="L7" s="2"/>
      <c r="M7" s="2"/>
    </row>
    <row r="8" spans="1:17" ht="18" x14ac:dyDescent="0.25">
      <c r="A8" s="8">
        <v>3</v>
      </c>
      <c r="B8" s="8"/>
      <c r="C8" s="77">
        <v>46335</v>
      </c>
      <c r="D8" s="81">
        <v>300</v>
      </c>
      <c r="E8" s="8"/>
      <c r="F8" s="8">
        <v>300</v>
      </c>
      <c r="G8" s="8" t="s">
        <v>100</v>
      </c>
      <c r="H8" s="2"/>
      <c r="I8" s="2"/>
      <c r="J8" s="2"/>
      <c r="K8" s="2"/>
      <c r="L8" s="2"/>
      <c r="M8" s="2"/>
    </row>
    <row r="9" spans="1:17" ht="18" x14ac:dyDescent="0.25">
      <c r="A9" s="8">
        <v>4</v>
      </c>
      <c r="B9" s="8"/>
      <c r="C9" s="77">
        <v>46335</v>
      </c>
      <c r="D9" s="81">
        <v>300</v>
      </c>
      <c r="E9" s="8"/>
      <c r="F9" s="8">
        <v>300</v>
      </c>
      <c r="G9" s="8" t="s">
        <v>101</v>
      </c>
      <c r="H9" s="2"/>
      <c r="I9" s="2"/>
      <c r="J9" s="2"/>
      <c r="K9" s="2"/>
      <c r="L9" s="2"/>
      <c r="M9" s="2"/>
    </row>
    <row r="10" spans="1:17" ht="18" x14ac:dyDescent="0.25">
      <c r="A10" s="8">
        <v>5</v>
      </c>
      <c r="B10" s="8"/>
      <c r="C10" s="77">
        <v>46335</v>
      </c>
      <c r="D10" s="81">
        <v>300</v>
      </c>
      <c r="E10" s="8"/>
      <c r="F10" s="8">
        <v>300</v>
      </c>
      <c r="G10" s="8" t="s">
        <v>102</v>
      </c>
      <c r="H10" s="2"/>
      <c r="I10" s="2"/>
      <c r="J10" s="2"/>
      <c r="K10" s="2"/>
      <c r="L10" s="2"/>
      <c r="M10" s="2"/>
    </row>
    <row r="11" spans="1:17" ht="18" x14ac:dyDescent="0.25">
      <c r="A11" s="8">
        <v>6</v>
      </c>
      <c r="B11" s="8"/>
      <c r="C11" s="77">
        <v>46335</v>
      </c>
      <c r="D11" s="81"/>
      <c r="E11" s="8"/>
      <c r="F11" s="8">
        <v>300</v>
      </c>
      <c r="G11" s="8" t="s">
        <v>103</v>
      </c>
      <c r="H11" s="2"/>
      <c r="I11" s="2"/>
      <c r="J11" s="2"/>
      <c r="K11" s="2"/>
      <c r="L11" s="2"/>
      <c r="M11" s="2"/>
    </row>
    <row r="12" spans="1:17" ht="18" x14ac:dyDescent="0.25">
      <c r="A12" s="8">
        <v>7</v>
      </c>
      <c r="B12" s="8"/>
      <c r="C12" s="77">
        <v>46335</v>
      </c>
      <c r="D12" s="81"/>
      <c r="E12" s="8"/>
      <c r="F12" s="8">
        <v>300</v>
      </c>
      <c r="G12" s="8" t="s">
        <v>104</v>
      </c>
      <c r="H12" s="2"/>
      <c r="I12" s="2"/>
      <c r="J12" s="2"/>
      <c r="K12" s="2"/>
      <c r="L12" s="2"/>
      <c r="M12" s="2"/>
    </row>
    <row r="13" spans="1:17" ht="18" x14ac:dyDescent="0.25">
      <c r="A13" s="8">
        <v>8</v>
      </c>
      <c r="B13" s="8"/>
      <c r="C13" s="77">
        <v>46335</v>
      </c>
      <c r="D13" s="81"/>
      <c r="E13" s="8"/>
      <c r="F13" s="8">
        <v>300</v>
      </c>
      <c r="G13" s="8" t="s">
        <v>105</v>
      </c>
      <c r="H13" s="2"/>
      <c r="I13" s="2"/>
      <c r="J13" s="2"/>
      <c r="K13" s="2"/>
      <c r="L13" s="2"/>
      <c r="M13" s="2"/>
    </row>
    <row r="14" spans="1:17" ht="18" x14ac:dyDescent="0.25">
      <c r="A14" s="8">
        <v>9</v>
      </c>
      <c r="B14" s="8"/>
      <c r="C14" s="77">
        <v>46335</v>
      </c>
      <c r="D14" s="81"/>
      <c r="E14" s="8"/>
      <c r="F14" s="8">
        <v>300</v>
      </c>
      <c r="G14" s="8" t="s">
        <v>106</v>
      </c>
      <c r="H14" s="2"/>
      <c r="I14" s="2"/>
      <c r="J14" s="2"/>
      <c r="K14" s="2"/>
      <c r="L14" s="2"/>
      <c r="M14" s="2"/>
    </row>
    <row r="15" spans="1:17" ht="18" x14ac:dyDescent="0.25">
      <c r="A15" s="8">
        <v>10</v>
      </c>
      <c r="B15" s="8"/>
      <c r="C15" s="77">
        <v>46335</v>
      </c>
      <c r="D15" s="81"/>
      <c r="E15" s="8"/>
      <c r="F15" s="8">
        <v>300</v>
      </c>
      <c r="G15" s="8" t="s">
        <v>107</v>
      </c>
      <c r="H15" s="2"/>
      <c r="I15" s="2"/>
      <c r="J15" s="2"/>
      <c r="K15" s="2"/>
      <c r="L15" s="2"/>
      <c r="M15" s="2"/>
    </row>
    <row r="16" spans="1:17" ht="18" x14ac:dyDescent="0.25">
      <c r="A16" s="8">
        <v>11</v>
      </c>
      <c r="B16" s="8"/>
      <c r="C16" s="77">
        <v>46335</v>
      </c>
      <c r="D16" s="81"/>
      <c r="E16" s="8"/>
      <c r="F16" s="8">
        <v>300</v>
      </c>
      <c r="G16" s="8" t="s">
        <v>108</v>
      </c>
      <c r="H16" s="2"/>
      <c r="I16" s="2"/>
      <c r="J16" s="2"/>
      <c r="K16" s="2"/>
      <c r="L16" s="2"/>
      <c r="M16" s="2"/>
    </row>
    <row r="17" spans="1:13" ht="18" x14ac:dyDescent="0.25">
      <c r="A17" s="8">
        <v>12</v>
      </c>
      <c r="B17" s="8"/>
      <c r="C17" s="77">
        <v>46335</v>
      </c>
      <c r="D17" s="81"/>
      <c r="E17" s="8"/>
      <c r="F17" s="8">
        <v>300</v>
      </c>
      <c r="G17" s="8" t="s">
        <v>109</v>
      </c>
      <c r="H17" s="2"/>
      <c r="I17" s="2"/>
      <c r="J17" s="2"/>
      <c r="K17" s="2"/>
      <c r="L17" s="2"/>
      <c r="M17" s="2"/>
    </row>
    <row r="18" spans="1:13" ht="18" x14ac:dyDescent="0.25">
      <c r="A18" s="8"/>
      <c r="B18" s="8"/>
      <c r="C18" s="77"/>
      <c r="D18" s="81"/>
      <c r="E18" s="8"/>
      <c r="F18" s="8"/>
      <c r="G18" s="8"/>
      <c r="H18" s="2"/>
      <c r="I18" s="2"/>
      <c r="J18" s="2"/>
      <c r="K18" s="2"/>
      <c r="L18" s="2"/>
      <c r="M18" s="2"/>
    </row>
    <row r="19" spans="1:13" ht="18" x14ac:dyDescent="0.25">
      <c r="A19" s="8"/>
      <c r="B19" s="8"/>
      <c r="C19" s="77"/>
      <c r="D19" s="81"/>
      <c r="E19" s="8"/>
      <c r="F19" s="8"/>
      <c r="G19" s="8"/>
      <c r="H19" s="2"/>
      <c r="I19" s="2"/>
      <c r="J19" s="2"/>
      <c r="K19" s="2"/>
      <c r="L19" s="2"/>
      <c r="M19" s="2"/>
    </row>
    <row r="20" spans="1:13" ht="18" x14ac:dyDescent="0.25">
      <c r="A20" s="8"/>
      <c r="B20" s="8"/>
      <c r="C20" s="77"/>
      <c r="D20" s="81"/>
      <c r="E20" s="8"/>
      <c r="F20" s="8"/>
      <c r="G20" s="8"/>
      <c r="H20" s="2"/>
      <c r="I20" s="2"/>
      <c r="J20" s="2"/>
      <c r="K20" s="2"/>
      <c r="L20" s="2"/>
      <c r="M20" s="2"/>
    </row>
    <row r="21" spans="1:13" ht="18" x14ac:dyDescent="0.25">
      <c r="A21" s="8"/>
      <c r="B21" s="8"/>
      <c r="C21" s="77"/>
      <c r="D21" s="81"/>
      <c r="E21" s="8"/>
      <c r="F21" s="8"/>
      <c r="G21" s="8"/>
      <c r="H21" s="2"/>
      <c r="I21" s="2"/>
      <c r="J21" s="2"/>
      <c r="K21" s="2"/>
      <c r="L21" s="2"/>
      <c r="M21" s="2"/>
    </row>
    <row r="22" spans="1:13" ht="18" x14ac:dyDescent="0.25">
      <c r="A22" s="8"/>
      <c r="B22" s="8"/>
      <c r="C22" s="77"/>
      <c r="D22" s="81"/>
      <c r="E22" s="8"/>
      <c r="F22" s="8"/>
      <c r="G22" s="8"/>
      <c r="H22" s="2"/>
      <c r="I22" s="2"/>
      <c r="J22" s="2"/>
      <c r="K22" s="2"/>
      <c r="L22" s="2"/>
      <c r="M22" s="2"/>
    </row>
    <row r="23" spans="1:13" ht="18" x14ac:dyDescent="0.25">
      <c r="A23" s="8"/>
      <c r="B23" s="8"/>
      <c r="C23" s="77"/>
      <c r="D23" s="81"/>
      <c r="E23" s="8"/>
      <c r="F23" s="8"/>
      <c r="G23" s="8"/>
      <c r="H23" s="2"/>
      <c r="I23" s="2"/>
      <c r="J23" s="2"/>
      <c r="K23" s="2"/>
      <c r="L23" s="2"/>
      <c r="M23" s="2"/>
    </row>
    <row r="24" spans="1:13" ht="18" x14ac:dyDescent="0.25">
      <c r="A24" s="8"/>
      <c r="B24" s="8"/>
      <c r="C24" s="77"/>
      <c r="D24" s="81"/>
      <c r="E24" s="8"/>
      <c r="F24" s="8"/>
      <c r="G24" s="8"/>
      <c r="H24" s="2"/>
      <c r="I24" s="2"/>
      <c r="J24" s="2"/>
      <c r="K24" s="2"/>
      <c r="L24" s="2"/>
      <c r="M24" s="2"/>
    </row>
    <row r="25" spans="1:13" ht="18" x14ac:dyDescent="0.25">
      <c r="A25" s="8"/>
      <c r="B25" s="8"/>
      <c r="C25" s="77"/>
      <c r="D25" s="81"/>
      <c r="E25" s="8"/>
      <c r="F25" s="8"/>
      <c r="G25" s="8"/>
      <c r="H25" s="2"/>
      <c r="I25" s="2"/>
      <c r="J25" s="2"/>
      <c r="K25" s="2"/>
      <c r="L25" s="2"/>
      <c r="M25" s="2"/>
    </row>
    <row r="26" spans="1:13" ht="18" x14ac:dyDescent="0.25">
      <c r="A26" s="8"/>
      <c r="B26" s="8"/>
      <c r="C26" s="77"/>
      <c r="D26" s="81"/>
      <c r="E26" s="8"/>
      <c r="F26" s="8"/>
      <c r="G26" s="8"/>
      <c r="H26" s="2"/>
      <c r="I26" s="2"/>
      <c r="J26" s="2"/>
      <c r="K26" s="2"/>
      <c r="L26" s="2"/>
      <c r="M26" s="2"/>
    </row>
    <row r="27" spans="1:13" ht="18" x14ac:dyDescent="0.25">
      <c r="A27" s="8"/>
      <c r="B27" s="8"/>
      <c r="C27" s="77"/>
      <c r="D27" s="81"/>
      <c r="E27" s="8"/>
      <c r="F27" s="8"/>
      <c r="G27" s="8"/>
      <c r="H27" s="2"/>
      <c r="I27" s="2"/>
      <c r="J27" s="2"/>
      <c r="K27" s="2"/>
      <c r="L27" s="2"/>
      <c r="M27" s="2"/>
    </row>
    <row r="28" spans="1:13" ht="18" x14ac:dyDescent="0.25">
      <c r="A28" s="8"/>
      <c r="B28" s="8"/>
      <c r="C28" s="77"/>
      <c r="D28" s="81"/>
      <c r="E28" s="8"/>
      <c r="F28" s="8"/>
      <c r="G28" s="8"/>
      <c r="H28" s="2"/>
      <c r="I28" s="2"/>
      <c r="J28" s="2"/>
      <c r="K28" s="2"/>
      <c r="L28" s="2"/>
      <c r="M28" s="2"/>
    </row>
    <row r="29" spans="1:13" ht="18" x14ac:dyDescent="0.25">
      <c r="A29" s="8"/>
      <c r="B29" s="8"/>
      <c r="C29" s="77"/>
      <c r="D29" s="81"/>
      <c r="E29" s="8"/>
      <c r="F29" s="8"/>
      <c r="G29" s="8"/>
      <c r="H29" s="2"/>
      <c r="I29" s="2"/>
      <c r="J29" s="2"/>
      <c r="K29" s="2"/>
      <c r="L29" s="2"/>
      <c r="M29" s="2"/>
    </row>
    <row r="30" spans="1:13" ht="18" x14ac:dyDescent="0.25">
      <c r="A30" s="8"/>
      <c r="B30" s="8"/>
      <c r="C30" s="77"/>
      <c r="D30" s="81"/>
      <c r="E30" s="8"/>
      <c r="F30" s="8"/>
      <c r="G30" s="8"/>
      <c r="H30" s="2"/>
      <c r="I30" s="2"/>
      <c r="J30" s="2"/>
      <c r="K30" s="2"/>
      <c r="L30" s="2"/>
      <c r="M30" s="2"/>
    </row>
    <row r="31" spans="1:13" ht="18" x14ac:dyDescent="0.25">
      <c r="A31" s="8"/>
      <c r="B31" s="8"/>
      <c r="C31" s="77"/>
      <c r="D31" s="81"/>
      <c r="E31" s="8"/>
      <c r="F31" s="8"/>
      <c r="G31" s="8"/>
      <c r="H31" s="2"/>
      <c r="I31" s="2"/>
      <c r="J31" s="2"/>
      <c r="K31" s="2"/>
      <c r="L31" s="2"/>
      <c r="M31" s="2"/>
    </row>
    <row r="32" spans="1:13" ht="18" x14ac:dyDescent="0.25">
      <c r="A32" s="8"/>
      <c r="B32" s="8"/>
      <c r="C32" s="77"/>
      <c r="D32" s="81"/>
      <c r="E32" s="8"/>
      <c r="F32" s="8"/>
      <c r="G32" s="8"/>
      <c r="H32" s="2"/>
      <c r="I32" s="2"/>
      <c r="J32" s="2"/>
      <c r="K32" s="2"/>
      <c r="L32" s="2"/>
      <c r="M32" s="2"/>
    </row>
    <row r="33" spans="1:13" ht="18" x14ac:dyDescent="0.25">
      <c r="A33" s="8"/>
      <c r="B33" s="8"/>
      <c r="C33" s="77"/>
      <c r="D33" s="81"/>
      <c r="E33" s="8"/>
      <c r="F33" s="8"/>
      <c r="G33" s="8"/>
      <c r="H33" s="2"/>
      <c r="I33" s="2"/>
      <c r="J33" s="2"/>
      <c r="K33" s="2"/>
      <c r="L33" s="2"/>
      <c r="M33" s="2"/>
    </row>
    <row r="34" spans="1:13" ht="18" x14ac:dyDescent="0.25">
      <c r="A34" s="8"/>
      <c r="B34" s="8"/>
      <c r="C34" s="77"/>
      <c r="D34" s="81"/>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Q34"/>
  <sheetViews>
    <sheetView rightToLeft="1" topLeftCell="A5" zoomScale="98" zoomScaleNormal="98" workbookViewId="0">
      <selection activeCell="D13" sqref="D13:D14"/>
    </sheetView>
  </sheetViews>
  <sheetFormatPr defaultRowHeight="14.25" x14ac:dyDescent="0.2"/>
  <cols>
    <col min="1" max="1" width="4.375" style="3" customWidth="1"/>
    <col min="2" max="2" width="5.25" style="3" customWidth="1"/>
    <col min="3" max="3" width="14.875" style="7" bestFit="1" customWidth="1"/>
    <col min="4" max="4" width="8.25" style="3" bestFit="1" customWidth="1"/>
    <col min="5" max="5" width="24.75" style="3" bestFit="1" customWidth="1"/>
    <col min="6" max="6" width="9.75" style="3" customWidth="1"/>
    <col min="7" max="7" width="9" style="3"/>
  </cols>
  <sheetData>
    <row r="2" spans="1:17" ht="26.25" x14ac:dyDescent="0.4">
      <c r="C2" s="99" t="s">
        <v>28</v>
      </c>
      <c r="D2" s="99"/>
      <c r="E2" s="99"/>
      <c r="F2" s="99"/>
      <c r="G2" s="99"/>
      <c r="H2" s="99"/>
      <c r="I2" s="99"/>
      <c r="J2" s="99"/>
      <c r="K2" s="99"/>
      <c r="L2" s="99"/>
      <c r="M2" s="99"/>
      <c r="N2" s="99"/>
      <c r="O2" s="99"/>
      <c r="P2" s="99"/>
      <c r="Q2" s="99"/>
    </row>
    <row r="3" spans="1:17" ht="56.25" x14ac:dyDescent="0.4">
      <c r="C3" s="1"/>
      <c r="D3" s="18" t="s">
        <v>8</v>
      </c>
      <c r="E3" s="18"/>
      <c r="F3" s="18" t="s">
        <v>18</v>
      </c>
      <c r="G3" s="1"/>
      <c r="H3" s="1"/>
      <c r="I3" s="1"/>
      <c r="J3" s="1"/>
      <c r="K3" s="1"/>
      <c r="L3" s="1"/>
      <c r="M3" s="1"/>
      <c r="N3" s="1"/>
      <c r="O3" s="1"/>
      <c r="P3" s="1"/>
      <c r="Q3" s="1"/>
    </row>
    <row r="4" spans="1:17" ht="18" x14ac:dyDescent="0.25">
      <c r="C4" s="10"/>
      <c r="D4" s="11">
        <f>SUM(D6:D2001)</f>
        <v>1350</v>
      </c>
      <c r="E4" s="11"/>
      <c r="F4" s="11">
        <f>SUM(F6:F2001)</f>
        <v>1800</v>
      </c>
    </row>
    <row r="5" spans="1:17" ht="36" x14ac:dyDescent="0.2">
      <c r="A5" s="4" t="s">
        <v>7</v>
      </c>
      <c r="B5" s="4" t="s">
        <v>17</v>
      </c>
      <c r="C5" s="6" t="s">
        <v>1</v>
      </c>
      <c r="D5" s="4" t="s">
        <v>2</v>
      </c>
      <c r="E5" s="4" t="s">
        <v>4</v>
      </c>
      <c r="F5" s="4" t="s">
        <v>19</v>
      </c>
      <c r="G5" s="4" t="s">
        <v>4</v>
      </c>
      <c r="H5" s="5"/>
      <c r="I5" s="5"/>
      <c r="J5" s="5"/>
      <c r="K5" s="5"/>
      <c r="L5" s="5"/>
      <c r="M5" s="5"/>
    </row>
    <row r="6" spans="1:17" ht="18" x14ac:dyDescent="0.25">
      <c r="A6" s="8">
        <v>1</v>
      </c>
      <c r="B6" s="8">
        <v>1</v>
      </c>
      <c r="C6" s="9">
        <v>45292</v>
      </c>
      <c r="D6" s="8">
        <v>150</v>
      </c>
      <c r="E6" s="8"/>
      <c r="F6" s="8">
        <v>150</v>
      </c>
      <c r="G6" s="8" t="s">
        <v>110</v>
      </c>
      <c r="H6" s="2"/>
      <c r="I6" s="2"/>
      <c r="J6" s="2"/>
      <c r="K6" s="2"/>
      <c r="L6" s="2"/>
      <c r="M6" s="2"/>
    </row>
    <row r="7" spans="1:17" ht="18" x14ac:dyDescent="0.25">
      <c r="A7" s="8">
        <v>2</v>
      </c>
      <c r="B7" s="8">
        <v>2</v>
      </c>
      <c r="C7" s="9">
        <v>45322</v>
      </c>
      <c r="D7" s="8">
        <v>150</v>
      </c>
      <c r="E7" s="8"/>
      <c r="F7" s="8">
        <v>150</v>
      </c>
      <c r="G7" s="8" t="s">
        <v>111</v>
      </c>
      <c r="H7" s="2"/>
      <c r="I7" s="2"/>
      <c r="J7" s="2"/>
      <c r="K7" s="2"/>
      <c r="L7" s="2"/>
      <c r="M7" s="2"/>
    </row>
    <row r="8" spans="1:17" ht="18" x14ac:dyDescent="0.25">
      <c r="A8" s="8">
        <v>3</v>
      </c>
      <c r="B8" s="8">
        <v>3</v>
      </c>
      <c r="C8" s="63">
        <v>46084</v>
      </c>
      <c r="D8" s="8">
        <v>150</v>
      </c>
      <c r="E8" s="8"/>
      <c r="F8" s="8">
        <v>150</v>
      </c>
      <c r="G8" s="8" t="s">
        <v>155</v>
      </c>
      <c r="H8" s="2"/>
      <c r="I8" s="2"/>
      <c r="J8" s="2"/>
      <c r="K8" s="2"/>
      <c r="L8" s="2"/>
      <c r="M8" s="2"/>
    </row>
    <row r="9" spans="1:17" ht="18" x14ac:dyDescent="0.25">
      <c r="A9" s="8">
        <v>4</v>
      </c>
      <c r="B9" s="8">
        <v>4</v>
      </c>
      <c r="C9" s="63">
        <v>45384</v>
      </c>
      <c r="D9" s="8">
        <v>150</v>
      </c>
      <c r="E9" s="8"/>
      <c r="F9" s="8">
        <v>150</v>
      </c>
      <c r="G9" s="8" t="s">
        <v>156</v>
      </c>
      <c r="H9" s="2"/>
      <c r="I9" s="2"/>
      <c r="J9" s="2"/>
      <c r="K9" s="2"/>
      <c r="L9" s="2"/>
      <c r="M9" s="2"/>
    </row>
    <row r="10" spans="1:17" ht="18" x14ac:dyDescent="0.25">
      <c r="A10" s="8">
        <v>5</v>
      </c>
      <c r="B10" s="8">
        <v>5</v>
      </c>
      <c r="C10" s="9">
        <v>45413</v>
      </c>
      <c r="D10" s="8">
        <v>150</v>
      </c>
      <c r="E10" s="8"/>
      <c r="F10" s="8">
        <v>150</v>
      </c>
      <c r="G10" s="8" t="s">
        <v>157</v>
      </c>
      <c r="H10" s="2"/>
      <c r="I10" s="2"/>
      <c r="J10" s="2"/>
      <c r="K10" s="2"/>
      <c r="L10" s="2"/>
      <c r="M10" s="2"/>
    </row>
    <row r="11" spans="1:17" ht="18" x14ac:dyDescent="0.25">
      <c r="A11" s="8">
        <v>6</v>
      </c>
      <c r="B11" s="8">
        <v>6</v>
      </c>
      <c r="C11" s="9">
        <v>45449</v>
      </c>
      <c r="D11" s="8">
        <v>150</v>
      </c>
      <c r="E11" s="8"/>
      <c r="F11" s="8">
        <v>150</v>
      </c>
      <c r="G11" s="8" t="s">
        <v>170</v>
      </c>
      <c r="H11" s="2"/>
      <c r="I11" s="2"/>
      <c r="J11" s="2"/>
      <c r="K11" s="2"/>
      <c r="L11" s="2"/>
      <c r="M11" s="2"/>
    </row>
    <row r="12" spans="1:17" ht="18" x14ac:dyDescent="0.25">
      <c r="A12" s="8">
        <v>7</v>
      </c>
      <c r="B12" s="8">
        <v>7</v>
      </c>
      <c r="C12" s="9">
        <v>45474</v>
      </c>
      <c r="D12" s="8">
        <v>150</v>
      </c>
      <c r="E12" s="8"/>
      <c r="F12" s="8">
        <v>150</v>
      </c>
      <c r="G12" s="8" t="s">
        <v>183</v>
      </c>
      <c r="H12" s="2"/>
      <c r="I12" s="2"/>
      <c r="J12" s="2"/>
      <c r="K12" s="2"/>
      <c r="L12" s="2"/>
      <c r="M12" s="2"/>
    </row>
    <row r="13" spans="1:17" ht="18" x14ac:dyDescent="0.25">
      <c r="A13" s="8">
        <v>8</v>
      </c>
      <c r="B13" s="8">
        <v>8</v>
      </c>
      <c r="C13" s="51">
        <v>46235</v>
      </c>
      <c r="D13" s="8">
        <v>150</v>
      </c>
      <c r="E13" s="8"/>
      <c r="F13" s="8">
        <v>150</v>
      </c>
      <c r="G13" s="8" t="s">
        <v>178</v>
      </c>
      <c r="H13" s="2"/>
      <c r="I13" s="2"/>
      <c r="J13" s="2"/>
      <c r="K13" s="2"/>
      <c r="L13" s="2"/>
      <c r="M13" s="2"/>
    </row>
    <row r="14" spans="1:17" ht="18" x14ac:dyDescent="0.25">
      <c r="A14" s="8">
        <v>9</v>
      </c>
      <c r="B14" s="8">
        <v>9</v>
      </c>
      <c r="C14" s="63">
        <v>46267</v>
      </c>
      <c r="D14" s="8">
        <v>150</v>
      </c>
      <c r="E14" s="8"/>
      <c r="F14" s="8">
        <v>150</v>
      </c>
      <c r="G14" s="8" t="s">
        <v>179</v>
      </c>
      <c r="H14" s="2"/>
      <c r="I14" s="2"/>
      <c r="J14" s="2"/>
      <c r="K14" s="2"/>
      <c r="L14" s="2"/>
      <c r="M14" s="2"/>
    </row>
    <row r="15" spans="1:17" ht="18" x14ac:dyDescent="0.25">
      <c r="A15" s="8">
        <v>10</v>
      </c>
      <c r="B15" s="8">
        <v>10</v>
      </c>
      <c r="C15" s="9">
        <v>45567</v>
      </c>
      <c r="D15" s="8"/>
      <c r="E15" s="8"/>
      <c r="F15" s="8">
        <v>150</v>
      </c>
      <c r="G15" s="8" t="s">
        <v>180</v>
      </c>
      <c r="H15" s="2"/>
      <c r="I15" s="2"/>
      <c r="J15" s="2"/>
      <c r="K15" s="2"/>
      <c r="L15" s="2"/>
      <c r="M15" s="2"/>
    </row>
    <row r="16" spans="1:17" ht="18" x14ac:dyDescent="0.25">
      <c r="A16" s="8">
        <v>11</v>
      </c>
      <c r="B16" s="8">
        <v>11</v>
      </c>
      <c r="C16" s="9">
        <v>46335</v>
      </c>
      <c r="D16" s="8"/>
      <c r="E16" s="8"/>
      <c r="F16" s="8">
        <v>150</v>
      </c>
      <c r="G16" s="8" t="s">
        <v>181</v>
      </c>
      <c r="H16" s="2"/>
      <c r="I16" s="2"/>
      <c r="J16" s="2"/>
      <c r="K16" s="2"/>
      <c r="L16" s="2"/>
      <c r="M16" s="2"/>
    </row>
    <row r="17" spans="1:13" ht="18" x14ac:dyDescent="0.25">
      <c r="A17" s="8">
        <v>12</v>
      </c>
      <c r="B17" s="8">
        <v>12</v>
      </c>
      <c r="C17" s="9">
        <v>46358</v>
      </c>
      <c r="D17" s="8"/>
      <c r="E17" s="8"/>
      <c r="F17" s="8">
        <v>150</v>
      </c>
      <c r="G17" s="8" t="s">
        <v>182</v>
      </c>
      <c r="H17" s="2"/>
      <c r="I17" s="2"/>
      <c r="J17" s="2"/>
      <c r="K17" s="2"/>
      <c r="L17" s="2"/>
      <c r="M17" s="2"/>
    </row>
    <row r="18" spans="1:13" ht="18" x14ac:dyDescent="0.25">
      <c r="A18" s="8"/>
      <c r="B18" s="8"/>
      <c r="C18" s="9"/>
      <c r="D18" s="8"/>
      <c r="E18" s="8"/>
      <c r="F18" s="8"/>
      <c r="G18" s="8"/>
      <c r="H18" s="2"/>
      <c r="I18" s="2"/>
      <c r="J18" s="2"/>
      <c r="K18" s="2"/>
      <c r="L18" s="2"/>
      <c r="M18" s="2"/>
    </row>
    <row r="19" spans="1:13" ht="18" x14ac:dyDescent="0.25">
      <c r="A19" s="8"/>
      <c r="B19" s="8"/>
      <c r="C19" s="9"/>
      <c r="D19" s="8"/>
      <c r="E19" s="8"/>
      <c r="F19" s="8"/>
      <c r="G19" s="8"/>
      <c r="H19" s="2"/>
      <c r="I19" s="2"/>
      <c r="J19" s="2"/>
      <c r="K19" s="2"/>
      <c r="L19" s="2"/>
      <c r="M19" s="2"/>
    </row>
    <row r="20" spans="1:13" ht="18" x14ac:dyDescent="0.25">
      <c r="A20" s="8"/>
      <c r="B20" s="8"/>
      <c r="C20" s="9"/>
      <c r="D20" s="8"/>
      <c r="E20" s="8"/>
      <c r="F20" s="8"/>
      <c r="G20" s="8"/>
      <c r="H20" s="2"/>
      <c r="I20" s="2"/>
      <c r="J20" s="2"/>
      <c r="K20" s="2"/>
      <c r="L20" s="2"/>
      <c r="M20" s="2"/>
    </row>
    <row r="21" spans="1:13" ht="18" x14ac:dyDescent="0.25">
      <c r="A21" s="8"/>
      <c r="B21" s="8"/>
      <c r="C21" s="9"/>
      <c r="D21" s="8"/>
      <c r="E21" s="8"/>
      <c r="F21" s="8"/>
      <c r="G21" s="8"/>
      <c r="H21" s="2"/>
      <c r="I21" s="2"/>
      <c r="J21" s="2"/>
      <c r="K21" s="2"/>
      <c r="L21" s="2"/>
      <c r="M21" s="2"/>
    </row>
    <row r="22" spans="1:13" ht="18" x14ac:dyDescent="0.25">
      <c r="A22" s="8"/>
      <c r="B22" s="8"/>
      <c r="C22" s="9"/>
      <c r="D22" s="8"/>
      <c r="E22" s="8"/>
      <c r="F22" s="8"/>
      <c r="G22" s="8"/>
      <c r="H22" s="2"/>
      <c r="I22" s="2"/>
      <c r="J22" s="2"/>
      <c r="K22" s="2"/>
      <c r="L22" s="2"/>
      <c r="M22" s="2"/>
    </row>
    <row r="23" spans="1:13" ht="18" x14ac:dyDescent="0.25">
      <c r="A23" s="8"/>
      <c r="B23" s="8"/>
      <c r="C23" s="9"/>
      <c r="D23" s="8"/>
      <c r="E23" s="8"/>
      <c r="F23" s="8"/>
      <c r="G23" s="8"/>
      <c r="H23" s="2"/>
      <c r="I23" s="2"/>
      <c r="J23" s="2"/>
      <c r="K23" s="2"/>
      <c r="L23" s="2"/>
      <c r="M23" s="2"/>
    </row>
    <row r="24" spans="1:13" ht="18" x14ac:dyDescent="0.25">
      <c r="A24" s="8"/>
      <c r="B24" s="8"/>
      <c r="C24" s="9"/>
      <c r="D24" s="8"/>
      <c r="E24" s="8"/>
      <c r="F24" s="8"/>
      <c r="G24" s="8"/>
      <c r="H24" s="2"/>
      <c r="I24" s="2"/>
      <c r="J24" s="2"/>
      <c r="K24" s="2"/>
      <c r="L24" s="2"/>
      <c r="M24" s="2"/>
    </row>
    <row r="25" spans="1:13" ht="18" x14ac:dyDescent="0.25">
      <c r="A25" s="8"/>
      <c r="B25" s="8"/>
      <c r="C25" s="9"/>
      <c r="D25" s="8"/>
      <c r="E25" s="8"/>
      <c r="F25" s="8"/>
      <c r="G25" s="8"/>
      <c r="H25" s="2"/>
      <c r="I25" s="2"/>
      <c r="J25" s="2"/>
      <c r="K25" s="2"/>
      <c r="L25" s="2"/>
      <c r="M25" s="2"/>
    </row>
    <row r="26" spans="1:13" ht="18" x14ac:dyDescent="0.25">
      <c r="A26" s="8"/>
      <c r="B26" s="8"/>
      <c r="C26" s="9"/>
      <c r="D26" s="8"/>
      <c r="E26" s="8"/>
      <c r="F26" s="8"/>
      <c r="G26" s="8"/>
      <c r="H26" s="2"/>
      <c r="I26" s="2"/>
      <c r="J26" s="2"/>
      <c r="K26" s="2"/>
      <c r="L26" s="2"/>
      <c r="M26" s="2"/>
    </row>
    <row r="27" spans="1:13" ht="18" x14ac:dyDescent="0.25">
      <c r="A27" s="8"/>
      <c r="B27" s="8"/>
      <c r="C27" s="9"/>
      <c r="D27" s="8"/>
      <c r="E27" s="8"/>
      <c r="F27" s="8"/>
      <c r="G27" s="8"/>
      <c r="H27" s="2"/>
      <c r="I27" s="2"/>
      <c r="J27" s="2"/>
      <c r="K27" s="2"/>
      <c r="L27" s="2"/>
      <c r="M27" s="2"/>
    </row>
    <row r="28" spans="1:13" ht="18" x14ac:dyDescent="0.25">
      <c r="A28" s="8"/>
      <c r="B28" s="8"/>
      <c r="C28" s="9"/>
      <c r="D28" s="8"/>
      <c r="E28" s="8"/>
      <c r="F28" s="8"/>
      <c r="G28" s="8"/>
      <c r="H28" s="2"/>
      <c r="I28" s="2"/>
      <c r="J28" s="2"/>
      <c r="K28" s="2"/>
      <c r="L28" s="2"/>
      <c r="M28" s="2"/>
    </row>
    <row r="29" spans="1:13" ht="18" x14ac:dyDescent="0.25">
      <c r="A29" s="8"/>
      <c r="B29" s="8"/>
      <c r="C29" s="9"/>
      <c r="D29" s="8"/>
      <c r="E29" s="8"/>
      <c r="F29" s="8"/>
      <c r="G29" s="8"/>
      <c r="H29" s="2"/>
      <c r="I29" s="2"/>
      <c r="J29" s="2"/>
      <c r="K29" s="2"/>
      <c r="L29" s="2"/>
      <c r="M29" s="2"/>
    </row>
    <row r="30" spans="1:13" ht="18" x14ac:dyDescent="0.25">
      <c r="A30" s="8"/>
      <c r="B30" s="8"/>
      <c r="C30" s="9"/>
      <c r="D30" s="8"/>
      <c r="E30" s="8"/>
      <c r="F30" s="8"/>
      <c r="G30" s="8"/>
      <c r="H30" s="2"/>
      <c r="I30" s="2"/>
      <c r="J30" s="2"/>
      <c r="K30" s="2"/>
      <c r="L30" s="2"/>
      <c r="M30" s="2"/>
    </row>
    <row r="31" spans="1:13" ht="18" x14ac:dyDescent="0.25">
      <c r="A31" s="8"/>
      <c r="B31" s="8"/>
      <c r="C31" s="9"/>
      <c r="D31" s="8"/>
      <c r="E31" s="8"/>
      <c r="F31" s="8"/>
      <c r="G31" s="8"/>
      <c r="H31" s="2"/>
      <c r="I31" s="2"/>
      <c r="J31" s="2"/>
      <c r="K31" s="2"/>
      <c r="L31" s="2"/>
      <c r="M31" s="2"/>
    </row>
    <row r="32" spans="1:13" ht="18" x14ac:dyDescent="0.25">
      <c r="A32" s="8"/>
      <c r="B32" s="8"/>
      <c r="C32" s="9"/>
      <c r="D32" s="8"/>
      <c r="E32" s="8"/>
      <c r="F32" s="8"/>
      <c r="G32" s="8"/>
      <c r="H32" s="2"/>
      <c r="I32" s="2"/>
      <c r="J32" s="2"/>
      <c r="K32" s="2"/>
      <c r="L32" s="2"/>
      <c r="M32" s="2"/>
    </row>
    <row r="33" spans="1:13" ht="18" x14ac:dyDescent="0.25">
      <c r="A33" s="8"/>
      <c r="B33" s="8"/>
      <c r="C33" s="9"/>
      <c r="D33" s="8"/>
      <c r="E33" s="8"/>
      <c r="F33" s="8"/>
      <c r="G33" s="8"/>
      <c r="H33" s="2"/>
      <c r="I33" s="2"/>
      <c r="J33" s="2"/>
      <c r="K33" s="2"/>
      <c r="L33" s="2"/>
      <c r="M33" s="2"/>
    </row>
    <row r="34" spans="1:13" ht="18" x14ac:dyDescent="0.25">
      <c r="A34" s="8"/>
      <c r="B34" s="8"/>
      <c r="C34" s="9"/>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Q34"/>
  <sheetViews>
    <sheetView rightToLeft="1" topLeftCell="B2" workbookViewId="0">
      <selection activeCell="E14" sqref="E14"/>
    </sheetView>
  </sheetViews>
  <sheetFormatPr defaultRowHeight="14.25" x14ac:dyDescent="0.2"/>
  <cols>
    <col min="1" max="1" width="4.125" style="3" bestFit="1" customWidth="1"/>
    <col min="2" max="2" width="5" style="3" customWidth="1"/>
    <col min="3" max="3" width="15.875" style="64" customWidth="1"/>
    <col min="4" max="4" width="8.25" style="3" bestFit="1" customWidth="1"/>
    <col min="5" max="5" width="24.75" style="3" bestFit="1" customWidth="1"/>
    <col min="6" max="6" width="9.75" style="3" customWidth="1"/>
    <col min="7" max="7" width="9" style="3"/>
  </cols>
  <sheetData>
    <row r="2" spans="1:17" ht="26.25" x14ac:dyDescent="0.4">
      <c r="C2" s="99" t="s">
        <v>27</v>
      </c>
      <c r="D2" s="99"/>
      <c r="E2" s="99"/>
      <c r="F2" s="99"/>
      <c r="G2" s="99"/>
      <c r="H2" s="99"/>
      <c r="I2" s="99"/>
      <c r="J2" s="99"/>
      <c r="K2" s="99"/>
      <c r="L2" s="99"/>
      <c r="M2" s="99"/>
      <c r="N2" s="99"/>
      <c r="O2" s="99"/>
      <c r="P2" s="99"/>
      <c r="Q2" s="99"/>
    </row>
    <row r="3" spans="1:17" ht="56.25" x14ac:dyDescent="0.4">
      <c r="C3" s="1"/>
      <c r="D3" s="18" t="s">
        <v>8</v>
      </c>
      <c r="E3" s="18"/>
      <c r="F3" s="18" t="s">
        <v>18</v>
      </c>
      <c r="G3" s="1"/>
      <c r="H3" s="1"/>
      <c r="I3" s="1"/>
      <c r="J3" s="1"/>
      <c r="K3" s="1"/>
      <c r="L3" s="1"/>
      <c r="M3" s="1"/>
      <c r="N3" s="1"/>
      <c r="O3" s="1"/>
      <c r="P3" s="1"/>
      <c r="Q3" s="1"/>
    </row>
    <row r="4" spans="1:17" ht="18" x14ac:dyDescent="0.25">
      <c r="C4" s="62"/>
      <c r="D4" s="11">
        <f>SUM(D6:D2001)</f>
        <v>1350</v>
      </c>
      <c r="E4" s="11"/>
      <c r="F4" s="11">
        <f>SUM(F6:F2001)</f>
        <v>1800</v>
      </c>
    </row>
    <row r="5" spans="1:17" ht="36" x14ac:dyDescent="0.25">
      <c r="A5" s="4" t="s">
        <v>7</v>
      </c>
      <c r="B5" s="4" t="s">
        <v>17</v>
      </c>
      <c r="C5" s="65" t="s">
        <v>1</v>
      </c>
      <c r="D5" s="4" t="s">
        <v>2</v>
      </c>
      <c r="E5" s="4" t="s">
        <v>4</v>
      </c>
      <c r="F5" s="4" t="s">
        <v>19</v>
      </c>
      <c r="G5" s="4" t="s">
        <v>4</v>
      </c>
      <c r="H5" s="5"/>
      <c r="I5" s="5"/>
      <c r="J5" s="5"/>
      <c r="K5" s="5"/>
      <c r="L5" s="5"/>
      <c r="M5" s="5"/>
    </row>
    <row r="6" spans="1:17" ht="18" x14ac:dyDescent="0.25">
      <c r="A6" s="8">
        <v>1</v>
      </c>
      <c r="B6" s="8">
        <v>1</v>
      </c>
      <c r="C6" s="63">
        <v>45292</v>
      </c>
      <c r="D6" s="8">
        <v>150</v>
      </c>
      <c r="E6" s="8"/>
      <c r="F6" s="8">
        <v>150</v>
      </c>
      <c r="G6" s="8" t="s">
        <v>110</v>
      </c>
      <c r="H6" s="2"/>
      <c r="I6" s="2"/>
      <c r="J6" s="2"/>
      <c r="K6" s="2"/>
      <c r="L6" s="2"/>
      <c r="M6" s="2"/>
    </row>
    <row r="7" spans="1:17" ht="18" x14ac:dyDescent="0.25">
      <c r="A7" s="8">
        <v>2</v>
      </c>
      <c r="B7" s="8">
        <v>2</v>
      </c>
      <c r="C7" s="63">
        <v>45322</v>
      </c>
      <c r="D7" s="8">
        <v>150</v>
      </c>
      <c r="E7" s="8"/>
      <c r="F7" s="8">
        <v>150</v>
      </c>
      <c r="G7" s="8" t="s">
        <v>111</v>
      </c>
      <c r="H7" s="2"/>
      <c r="I7" s="2"/>
      <c r="J7" s="2"/>
      <c r="K7" s="2"/>
      <c r="L7" s="2"/>
      <c r="M7" s="2"/>
    </row>
    <row r="8" spans="1:17" ht="18" x14ac:dyDescent="0.25">
      <c r="A8" s="8">
        <v>3</v>
      </c>
      <c r="B8" s="8">
        <v>3</v>
      </c>
      <c r="C8" s="63">
        <v>46084</v>
      </c>
      <c r="D8" s="8">
        <v>150</v>
      </c>
      <c r="E8" s="8"/>
      <c r="F8" s="8">
        <v>150</v>
      </c>
      <c r="G8" s="8" t="s">
        <v>155</v>
      </c>
      <c r="H8" s="2"/>
      <c r="I8" s="2"/>
      <c r="J8" s="2"/>
      <c r="K8" s="2"/>
      <c r="L8" s="2"/>
      <c r="M8" s="2"/>
    </row>
    <row r="9" spans="1:17" ht="18" x14ac:dyDescent="0.25">
      <c r="A9" s="8">
        <v>4</v>
      </c>
      <c r="B9" s="8">
        <v>4</v>
      </c>
      <c r="C9" s="63">
        <v>45384</v>
      </c>
      <c r="D9" s="8">
        <v>150</v>
      </c>
      <c r="E9" s="8"/>
      <c r="F9" s="8">
        <v>150</v>
      </c>
      <c r="G9" s="8" t="s">
        <v>156</v>
      </c>
      <c r="H9" s="2"/>
      <c r="I9" s="2"/>
      <c r="J9" s="2"/>
      <c r="K9" s="2"/>
      <c r="L9" s="2"/>
      <c r="M9" s="2"/>
    </row>
    <row r="10" spans="1:17" ht="18" x14ac:dyDescent="0.25">
      <c r="A10" s="8">
        <v>5</v>
      </c>
      <c r="B10" s="8">
        <v>5</v>
      </c>
      <c r="C10" s="63">
        <v>45413</v>
      </c>
      <c r="D10" s="8">
        <v>150</v>
      </c>
      <c r="E10" s="8"/>
      <c r="F10" s="8">
        <v>150</v>
      </c>
      <c r="G10" s="8" t="s">
        <v>157</v>
      </c>
      <c r="H10" s="2"/>
      <c r="I10" s="2"/>
      <c r="J10" s="2"/>
      <c r="K10" s="2"/>
      <c r="L10" s="2"/>
      <c r="M10" s="2"/>
    </row>
    <row r="11" spans="1:17" ht="18" x14ac:dyDescent="0.25">
      <c r="A11" s="8">
        <v>6</v>
      </c>
      <c r="B11" s="8">
        <v>6</v>
      </c>
      <c r="C11" s="63">
        <v>45449</v>
      </c>
      <c r="D11" s="8">
        <v>150</v>
      </c>
      <c r="E11" s="8"/>
      <c r="F11" s="8">
        <v>150</v>
      </c>
      <c r="G11" s="8" t="s">
        <v>176</v>
      </c>
      <c r="H11" s="2"/>
      <c r="I11" s="2"/>
      <c r="J11" s="2"/>
      <c r="K11" s="2"/>
      <c r="L11" s="2"/>
      <c r="M11" s="2"/>
    </row>
    <row r="12" spans="1:17" ht="18" x14ac:dyDescent="0.25">
      <c r="A12" s="8">
        <v>7</v>
      </c>
      <c r="B12" s="8">
        <v>7</v>
      </c>
      <c r="C12" s="63">
        <v>45474</v>
      </c>
      <c r="D12" s="8">
        <v>150</v>
      </c>
      <c r="E12" s="8"/>
      <c r="F12" s="8">
        <v>150</v>
      </c>
      <c r="G12" s="8" t="s">
        <v>177</v>
      </c>
      <c r="H12" s="2"/>
      <c r="I12" s="2"/>
      <c r="J12" s="2"/>
      <c r="K12" s="2"/>
      <c r="L12" s="2"/>
      <c r="M12" s="2"/>
    </row>
    <row r="13" spans="1:17" ht="18" x14ac:dyDescent="0.25">
      <c r="A13" s="8">
        <v>8</v>
      </c>
      <c r="B13" s="8">
        <v>8</v>
      </c>
      <c r="C13" s="51">
        <v>46235</v>
      </c>
      <c r="D13" s="8">
        <v>150</v>
      </c>
      <c r="E13" s="8"/>
      <c r="F13" s="8">
        <v>150</v>
      </c>
      <c r="G13" s="8" t="s">
        <v>178</v>
      </c>
      <c r="H13" s="2"/>
      <c r="I13" s="2"/>
      <c r="J13" s="2"/>
      <c r="K13" s="2"/>
      <c r="L13" s="2"/>
      <c r="M13" s="2"/>
    </row>
    <row r="14" spans="1:17" ht="18" x14ac:dyDescent="0.25">
      <c r="A14" s="8">
        <v>9</v>
      </c>
      <c r="B14" s="8">
        <v>9</v>
      </c>
      <c r="C14" s="63">
        <v>46267</v>
      </c>
      <c r="D14" s="8">
        <v>150</v>
      </c>
      <c r="E14" s="8"/>
      <c r="F14" s="8">
        <v>150</v>
      </c>
      <c r="G14" s="8" t="s">
        <v>179</v>
      </c>
      <c r="H14" s="2"/>
      <c r="I14" s="2"/>
      <c r="J14" s="2"/>
      <c r="K14" s="2"/>
      <c r="L14" s="2"/>
      <c r="M14" s="2"/>
    </row>
    <row r="15" spans="1:17" ht="18" x14ac:dyDescent="0.25">
      <c r="A15" s="8">
        <v>10</v>
      </c>
      <c r="B15" s="8">
        <v>10</v>
      </c>
      <c r="C15" s="63">
        <v>46297</v>
      </c>
      <c r="D15" s="8"/>
      <c r="E15" s="8"/>
      <c r="F15" s="8">
        <v>150</v>
      </c>
      <c r="G15" s="8" t="s">
        <v>180</v>
      </c>
      <c r="H15" s="2"/>
      <c r="I15" s="2"/>
      <c r="J15" s="2"/>
      <c r="K15" s="2"/>
      <c r="L15" s="2"/>
      <c r="M15" s="2"/>
    </row>
    <row r="16" spans="1:17" ht="18" x14ac:dyDescent="0.25">
      <c r="A16" s="8">
        <v>11</v>
      </c>
      <c r="B16" s="8">
        <v>11</v>
      </c>
      <c r="C16" s="63">
        <v>46335</v>
      </c>
      <c r="D16" s="8"/>
      <c r="E16" s="8"/>
      <c r="F16" s="8">
        <v>150</v>
      </c>
      <c r="G16" s="8" t="s">
        <v>181</v>
      </c>
      <c r="H16" s="2"/>
      <c r="I16" s="2"/>
      <c r="J16" s="2"/>
      <c r="K16" s="2"/>
      <c r="L16" s="2"/>
      <c r="M16" s="2"/>
    </row>
    <row r="17" spans="1:13" ht="18" x14ac:dyDescent="0.25">
      <c r="A17" s="8">
        <v>12</v>
      </c>
      <c r="B17" s="8">
        <v>12</v>
      </c>
      <c r="C17" s="63">
        <v>46357</v>
      </c>
      <c r="D17" s="8"/>
      <c r="E17" s="8"/>
      <c r="F17" s="8">
        <v>150</v>
      </c>
      <c r="G17" s="8" t="s">
        <v>182</v>
      </c>
      <c r="H17" s="2"/>
      <c r="I17" s="2"/>
      <c r="J17" s="2"/>
      <c r="K17" s="2"/>
      <c r="L17" s="2"/>
      <c r="M17" s="2"/>
    </row>
    <row r="18" spans="1:13" ht="18" x14ac:dyDescent="0.25">
      <c r="A18" s="8"/>
      <c r="B18" s="8"/>
      <c r="C18" s="63"/>
      <c r="D18" s="8"/>
      <c r="E18" s="8"/>
      <c r="F18" s="8"/>
      <c r="G18" s="8"/>
      <c r="H18" s="2"/>
      <c r="I18" s="2"/>
      <c r="J18" s="2"/>
      <c r="K18" s="2"/>
      <c r="L18" s="2"/>
      <c r="M18" s="2"/>
    </row>
    <row r="19" spans="1:13" ht="18" x14ac:dyDescent="0.25">
      <c r="A19" s="8"/>
      <c r="B19" s="8"/>
      <c r="C19" s="63"/>
      <c r="D19" s="8"/>
      <c r="E19" s="8"/>
      <c r="F19" s="8"/>
      <c r="G19" s="8"/>
      <c r="H19" s="2"/>
      <c r="I19" s="2"/>
      <c r="J19" s="2"/>
      <c r="K19" s="2"/>
      <c r="L19" s="2"/>
      <c r="M19" s="2"/>
    </row>
    <row r="20" spans="1:13" ht="18" x14ac:dyDescent="0.25">
      <c r="A20" s="8"/>
      <c r="B20" s="8"/>
      <c r="C20" s="63"/>
      <c r="D20" s="8"/>
      <c r="E20" s="8"/>
      <c r="F20" s="8"/>
      <c r="G20" s="8"/>
      <c r="H20" s="2"/>
      <c r="I20" s="2"/>
      <c r="J20" s="2"/>
      <c r="K20" s="2"/>
      <c r="L20" s="2"/>
      <c r="M20" s="2"/>
    </row>
    <row r="21" spans="1:13" ht="18" x14ac:dyDescent="0.25">
      <c r="A21" s="8"/>
      <c r="B21" s="8"/>
      <c r="C21" s="63"/>
      <c r="D21" s="8"/>
      <c r="E21" s="8"/>
      <c r="F21" s="8"/>
      <c r="G21" s="8"/>
      <c r="H21" s="2"/>
      <c r="I21" s="2"/>
      <c r="J21" s="2"/>
      <c r="K21" s="2"/>
      <c r="L21" s="2"/>
      <c r="M21" s="2"/>
    </row>
    <row r="22" spans="1:13" ht="18" x14ac:dyDescent="0.25">
      <c r="A22" s="8"/>
      <c r="B22" s="8"/>
      <c r="C22" s="63"/>
      <c r="D22" s="8"/>
      <c r="E22" s="8"/>
      <c r="F22" s="8"/>
      <c r="G22" s="8"/>
      <c r="H22" s="2"/>
      <c r="I22" s="2"/>
      <c r="J22" s="2"/>
      <c r="K22" s="2"/>
      <c r="L22" s="2"/>
      <c r="M22" s="2"/>
    </row>
    <row r="23" spans="1:13" ht="18" x14ac:dyDescent="0.25">
      <c r="A23" s="8"/>
      <c r="B23" s="8"/>
      <c r="C23" s="63"/>
      <c r="D23" s="8"/>
      <c r="E23" s="8"/>
      <c r="F23" s="8"/>
      <c r="G23" s="8"/>
      <c r="H23" s="2"/>
      <c r="I23" s="2"/>
      <c r="J23" s="2"/>
      <c r="K23" s="2"/>
      <c r="L23" s="2"/>
      <c r="M23" s="2"/>
    </row>
    <row r="24" spans="1:13" ht="18" x14ac:dyDescent="0.25">
      <c r="A24" s="8"/>
      <c r="B24" s="8"/>
      <c r="C24" s="63"/>
      <c r="D24" s="8"/>
      <c r="E24" s="8"/>
      <c r="F24" s="8"/>
      <c r="G24" s="8"/>
      <c r="H24" s="2"/>
      <c r="I24" s="2"/>
      <c r="J24" s="2"/>
      <c r="K24" s="2"/>
      <c r="L24" s="2"/>
      <c r="M24" s="2"/>
    </row>
    <row r="25" spans="1:13" ht="18" x14ac:dyDescent="0.25">
      <c r="A25" s="8"/>
      <c r="B25" s="8"/>
      <c r="C25" s="63"/>
      <c r="D25" s="8"/>
      <c r="E25" s="8"/>
      <c r="F25" s="8"/>
      <c r="G25" s="8"/>
      <c r="H25" s="2"/>
      <c r="I25" s="2"/>
      <c r="J25" s="2"/>
      <c r="K25" s="2"/>
      <c r="L25" s="2"/>
      <c r="M25" s="2"/>
    </row>
    <row r="26" spans="1:13" ht="18" x14ac:dyDescent="0.25">
      <c r="A26" s="8"/>
      <c r="B26" s="8"/>
      <c r="C26" s="63"/>
      <c r="D26" s="8"/>
      <c r="E26" s="8"/>
      <c r="F26" s="8"/>
      <c r="G26" s="8"/>
      <c r="H26" s="2"/>
      <c r="I26" s="2"/>
      <c r="J26" s="2"/>
      <c r="K26" s="2"/>
      <c r="L26" s="2"/>
      <c r="M26" s="2"/>
    </row>
    <row r="27" spans="1:13" ht="18" x14ac:dyDescent="0.25">
      <c r="A27" s="8"/>
      <c r="B27" s="8"/>
      <c r="C27" s="63"/>
      <c r="D27" s="8"/>
      <c r="E27" s="8"/>
      <c r="F27" s="8"/>
      <c r="G27" s="8"/>
      <c r="H27" s="2"/>
      <c r="I27" s="2"/>
      <c r="J27" s="2"/>
      <c r="K27" s="2"/>
      <c r="L27" s="2"/>
      <c r="M27" s="2"/>
    </row>
    <row r="28" spans="1:13" ht="18" x14ac:dyDescent="0.25">
      <c r="A28" s="8"/>
      <c r="B28" s="8"/>
      <c r="C28" s="63"/>
      <c r="D28" s="8"/>
      <c r="E28" s="8"/>
      <c r="F28" s="8"/>
      <c r="G28" s="8"/>
      <c r="H28" s="2"/>
      <c r="I28" s="2"/>
      <c r="J28" s="2"/>
      <c r="K28" s="2"/>
      <c r="L28" s="2"/>
      <c r="M28" s="2"/>
    </row>
    <row r="29" spans="1:13" ht="18" x14ac:dyDescent="0.25">
      <c r="A29" s="8"/>
      <c r="B29" s="8"/>
      <c r="C29" s="63"/>
      <c r="D29" s="8"/>
      <c r="E29" s="8"/>
      <c r="F29" s="8"/>
      <c r="G29" s="8"/>
      <c r="H29" s="2"/>
      <c r="I29" s="2"/>
      <c r="J29" s="2"/>
      <c r="K29" s="2"/>
      <c r="L29" s="2"/>
      <c r="M29" s="2"/>
    </row>
    <row r="30" spans="1:13" ht="18" x14ac:dyDescent="0.25">
      <c r="A30" s="8"/>
      <c r="B30" s="8"/>
      <c r="C30" s="63"/>
      <c r="D30" s="8"/>
      <c r="E30" s="8"/>
      <c r="F30" s="8"/>
      <c r="G30" s="8"/>
      <c r="H30" s="2"/>
      <c r="I30" s="2"/>
      <c r="J30" s="2"/>
      <c r="K30" s="2"/>
      <c r="L30" s="2"/>
      <c r="M30" s="2"/>
    </row>
    <row r="31" spans="1:13" ht="18" x14ac:dyDescent="0.25">
      <c r="A31" s="8"/>
      <c r="B31" s="8"/>
      <c r="C31" s="63"/>
      <c r="D31" s="8"/>
      <c r="E31" s="8"/>
      <c r="F31" s="8"/>
      <c r="G31" s="8"/>
      <c r="H31" s="2"/>
      <c r="I31" s="2"/>
      <c r="J31" s="2"/>
      <c r="K31" s="2"/>
      <c r="L31" s="2"/>
      <c r="M31" s="2"/>
    </row>
    <row r="32" spans="1:13" ht="18" x14ac:dyDescent="0.25">
      <c r="A32" s="8"/>
      <c r="B32" s="8"/>
      <c r="C32" s="63"/>
      <c r="D32" s="8"/>
      <c r="E32" s="8"/>
      <c r="F32" s="8"/>
      <c r="G32" s="8"/>
      <c r="H32" s="2"/>
      <c r="I32" s="2"/>
      <c r="J32" s="2"/>
      <c r="K32" s="2"/>
      <c r="L32" s="2"/>
      <c r="M32" s="2"/>
    </row>
    <row r="33" spans="1:13" ht="18" x14ac:dyDescent="0.25">
      <c r="A33" s="8"/>
      <c r="B33" s="8"/>
      <c r="C33" s="63"/>
      <c r="D33" s="8"/>
      <c r="E33" s="8"/>
      <c r="F33" s="8"/>
      <c r="G33" s="8"/>
      <c r="H33" s="2"/>
      <c r="I33" s="2"/>
      <c r="J33" s="2"/>
      <c r="K33" s="2"/>
      <c r="L33" s="2"/>
      <c r="M33" s="2"/>
    </row>
    <row r="34" spans="1:13" ht="18" x14ac:dyDescent="0.25">
      <c r="A34" s="8"/>
      <c r="B34" s="8"/>
      <c r="C34" s="63"/>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Q34"/>
  <sheetViews>
    <sheetView rightToLeft="1" topLeftCell="B1" workbookViewId="0">
      <selection activeCell="M12" sqref="M12"/>
    </sheetView>
  </sheetViews>
  <sheetFormatPr defaultRowHeight="14.25" x14ac:dyDescent="0.2"/>
  <cols>
    <col min="1" max="1" width="4.125" style="66" bestFit="1" customWidth="1"/>
    <col min="2" max="2" width="6.25" style="66" customWidth="1"/>
    <col min="3" max="3" width="14.875" style="78" bestFit="1" customWidth="1"/>
    <col min="4" max="4" width="8.25" style="3" bestFit="1" customWidth="1"/>
    <col min="5" max="5" width="24.75" style="3" bestFit="1" customWidth="1"/>
    <col min="6" max="6" width="9.75" style="66" customWidth="1"/>
    <col min="7" max="7" width="9" style="3"/>
  </cols>
  <sheetData>
    <row r="2" spans="1:17" ht="26.25" x14ac:dyDescent="0.4">
      <c r="C2" s="99" t="s">
        <v>29</v>
      </c>
      <c r="D2" s="99"/>
      <c r="E2" s="99"/>
      <c r="F2" s="99"/>
      <c r="G2" s="99"/>
      <c r="H2" s="99"/>
      <c r="I2" s="99"/>
      <c r="J2" s="99"/>
      <c r="K2" s="99"/>
      <c r="L2" s="99"/>
      <c r="M2" s="99"/>
      <c r="N2" s="99"/>
      <c r="O2" s="99"/>
      <c r="P2" s="99"/>
      <c r="Q2" s="99"/>
    </row>
    <row r="3" spans="1:17" ht="56.25" x14ac:dyDescent="0.4">
      <c r="C3" s="75"/>
      <c r="D3" s="18" t="s">
        <v>8</v>
      </c>
      <c r="E3" s="18"/>
      <c r="F3" s="18" t="s">
        <v>18</v>
      </c>
      <c r="G3" s="1"/>
      <c r="H3" s="1"/>
      <c r="I3" s="1"/>
      <c r="J3" s="1"/>
      <c r="K3" s="1"/>
      <c r="L3" s="1"/>
      <c r="M3" s="1"/>
      <c r="N3" s="1"/>
      <c r="O3" s="1"/>
      <c r="P3" s="1"/>
      <c r="Q3" s="1"/>
    </row>
    <row r="4" spans="1:17" ht="18" x14ac:dyDescent="0.25">
      <c r="C4" s="76"/>
      <c r="D4" s="11">
        <f>SUM(D6:D2001)</f>
        <v>1425</v>
      </c>
      <c r="E4" s="11"/>
      <c r="F4" s="83">
        <f>SUM(F6:F2001)</f>
        <v>1425</v>
      </c>
    </row>
    <row r="5" spans="1:17" ht="36" x14ac:dyDescent="0.2">
      <c r="A5" s="4" t="s">
        <v>7</v>
      </c>
      <c r="B5" s="4" t="s">
        <v>17</v>
      </c>
      <c r="C5" s="50" t="s">
        <v>1</v>
      </c>
      <c r="D5" s="4" t="s">
        <v>2</v>
      </c>
      <c r="E5" s="4" t="s">
        <v>4</v>
      </c>
      <c r="F5" s="4" t="s">
        <v>19</v>
      </c>
      <c r="G5" s="4" t="s">
        <v>4</v>
      </c>
      <c r="H5" s="5"/>
      <c r="I5" s="5"/>
      <c r="J5" s="5"/>
      <c r="K5" s="5"/>
      <c r="L5" s="5"/>
      <c r="M5" s="5"/>
    </row>
    <row r="6" spans="1:17" ht="18" x14ac:dyDescent="0.25">
      <c r="A6" s="33">
        <v>1</v>
      </c>
      <c r="B6" s="33">
        <v>1</v>
      </c>
      <c r="C6" s="77">
        <v>46073</v>
      </c>
      <c r="D6" s="8">
        <v>75</v>
      </c>
      <c r="E6" s="8"/>
      <c r="F6" s="33">
        <v>75</v>
      </c>
      <c r="G6" s="8" t="s">
        <v>229</v>
      </c>
      <c r="H6" s="2"/>
      <c r="I6" s="2"/>
      <c r="J6" s="2"/>
      <c r="K6" s="2"/>
      <c r="L6" s="2"/>
      <c r="M6" s="2"/>
    </row>
    <row r="7" spans="1:17" ht="18" x14ac:dyDescent="0.25">
      <c r="A7" s="33">
        <v>2</v>
      </c>
      <c r="B7" s="33">
        <v>2</v>
      </c>
      <c r="C7" s="77">
        <v>46073</v>
      </c>
      <c r="D7" s="8">
        <v>75</v>
      </c>
      <c r="E7" s="8"/>
      <c r="F7" s="33">
        <v>75</v>
      </c>
      <c r="G7" s="8" t="s">
        <v>230</v>
      </c>
      <c r="H7" s="2"/>
      <c r="I7" s="2"/>
      <c r="J7" s="2"/>
      <c r="K7" s="2"/>
      <c r="L7" s="2"/>
      <c r="M7" s="2"/>
    </row>
    <row r="8" spans="1:17" ht="18" x14ac:dyDescent="0.25">
      <c r="A8" s="33">
        <v>3</v>
      </c>
      <c r="B8" s="33">
        <v>3</v>
      </c>
      <c r="C8" s="77">
        <v>46122</v>
      </c>
      <c r="D8" s="8">
        <v>75</v>
      </c>
      <c r="E8" s="8"/>
      <c r="F8" s="33">
        <v>75</v>
      </c>
      <c r="G8" s="8" t="s">
        <v>224</v>
      </c>
      <c r="H8" s="2"/>
      <c r="I8" s="2"/>
      <c r="J8" s="2"/>
      <c r="K8" s="2"/>
      <c r="L8" s="2"/>
      <c r="M8" s="2"/>
    </row>
    <row r="9" spans="1:17" ht="18" x14ac:dyDescent="0.25">
      <c r="A9" s="33">
        <v>4</v>
      </c>
      <c r="B9" s="33">
        <v>4</v>
      </c>
      <c r="C9" s="77">
        <v>46116</v>
      </c>
      <c r="D9" s="8">
        <v>75</v>
      </c>
      <c r="E9" s="8"/>
      <c r="F9" s="33">
        <v>75</v>
      </c>
      <c r="G9" s="8" t="s">
        <v>225</v>
      </c>
      <c r="H9" s="2"/>
      <c r="I9" s="2"/>
      <c r="J9" s="2"/>
      <c r="K9" s="2"/>
      <c r="L9" s="2"/>
      <c r="M9" s="2"/>
    </row>
    <row r="10" spans="1:17" ht="18" x14ac:dyDescent="0.25">
      <c r="A10" s="33">
        <v>5</v>
      </c>
      <c r="B10" s="33">
        <v>5</v>
      </c>
      <c r="C10" s="77">
        <v>46144</v>
      </c>
      <c r="D10" s="8">
        <v>75</v>
      </c>
      <c r="E10" s="8"/>
      <c r="F10" s="33">
        <v>75</v>
      </c>
      <c r="G10" s="8" t="s">
        <v>226</v>
      </c>
      <c r="H10" s="2"/>
      <c r="I10" s="2"/>
      <c r="J10" s="2"/>
      <c r="K10" s="2"/>
      <c r="L10" s="2"/>
      <c r="M10" s="2"/>
    </row>
    <row r="11" spans="1:17" ht="18" x14ac:dyDescent="0.25">
      <c r="A11" s="33">
        <v>6</v>
      </c>
      <c r="B11" s="33">
        <v>6</v>
      </c>
      <c r="C11" s="77">
        <v>46176</v>
      </c>
      <c r="D11" s="8">
        <v>150</v>
      </c>
      <c r="E11" s="8"/>
      <c r="F11" s="33">
        <v>150</v>
      </c>
      <c r="G11" s="8" t="s">
        <v>227</v>
      </c>
      <c r="H11" s="2"/>
      <c r="I11" s="2"/>
      <c r="J11" s="2"/>
      <c r="K11" s="2"/>
      <c r="L11" s="2"/>
      <c r="M11" s="2"/>
    </row>
    <row r="12" spans="1:17" ht="18" x14ac:dyDescent="0.25">
      <c r="A12" s="33">
        <v>7</v>
      </c>
      <c r="B12" s="33">
        <v>7</v>
      </c>
      <c r="C12" s="77">
        <v>46204</v>
      </c>
      <c r="D12" s="8">
        <v>150</v>
      </c>
      <c r="E12" s="8"/>
      <c r="F12" s="33">
        <v>150</v>
      </c>
      <c r="G12" s="8" t="s">
        <v>231</v>
      </c>
      <c r="H12" s="2"/>
      <c r="I12" s="2"/>
      <c r="J12" s="2"/>
      <c r="K12" s="2"/>
      <c r="L12" s="2"/>
      <c r="M12" s="2"/>
    </row>
    <row r="13" spans="1:17" ht="18" x14ac:dyDescent="0.25">
      <c r="A13" s="33">
        <v>8</v>
      </c>
      <c r="B13" s="33">
        <v>8</v>
      </c>
      <c r="C13" s="77">
        <v>46237</v>
      </c>
      <c r="D13" s="8">
        <v>150</v>
      </c>
      <c r="E13" s="8"/>
      <c r="F13" s="33">
        <v>150</v>
      </c>
      <c r="G13" s="8" t="s">
        <v>232</v>
      </c>
      <c r="H13" s="2"/>
      <c r="I13" s="2"/>
      <c r="J13" s="2"/>
      <c r="K13" s="2"/>
      <c r="L13" s="2"/>
      <c r="M13" s="2"/>
    </row>
    <row r="14" spans="1:17" ht="18" x14ac:dyDescent="0.25">
      <c r="A14" s="33">
        <v>9</v>
      </c>
      <c r="B14" s="33">
        <v>9</v>
      </c>
      <c r="C14" s="77">
        <v>46299</v>
      </c>
      <c r="D14" s="8">
        <v>150</v>
      </c>
      <c r="E14" s="8"/>
      <c r="F14" s="33">
        <v>150</v>
      </c>
      <c r="G14" s="8" t="s">
        <v>233</v>
      </c>
      <c r="H14" s="2"/>
      <c r="I14" s="2"/>
      <c r="J14" s="2"/>
      <c r="K14" s="2"/>
      <c r="L14" s="2"/>
      <c r="M14" s="2"/>
    </row>
    <row r="15" spans="1:17" ht="18" x14ac:dyDescent="0.25">
      <c r="A15" s="33">
        <v>10</v>
      </c>
      <c r="B15" s="33">
        <v>10</v>
      </c>
      <c r="C15" s="77">
        <v>46299</v>
      </c>
      <c r="D15" s="8">
        <v>150</v>
      </c>
      <c r="E15" s="8"/>
      <c r="F15" s="33">
        <v>150</v>
      </c>
      <c r="G15" s="8" t="s">
        <v>234</v>
      </c>
      <c r="H15" s="2"/>
      <c r="I15" s="2"/>
      <c r="J15" s="2"/>
      <c r="K15" s="2"/>
      <c r="L15" s="2"/>
      <c r="M15" s="2"/>
    </row>
    <row r="16" spans="1:17" ht="18" x14ac:dyDescent="0.25">
      <c r="A16" s="33">
        <v>11</v>
      </c>
      <c r="B16" s="33">
        <v>11</v>
      </c>
      <c r="C16" s="77">
        <v>46350</v>
      </c>
      <c r="D16" s="8">
        <v>150</v>
      </c>
      <c r="E16" s="8"/>
      <c r="F16" s="33">
        <v>150</v>
      </c>
      <c r="G16" s="8" t="s">
        <v>235</v>
      </c>
      <c r="H16" s="2"/>
      <c r="I16" s="2"/>
      <c r="J16" s="2"/>
      <c r="K16" s="2"/>
      <c r="L16" s="2"/>
      <c r="M16" s="2"/>
    </row>
    <row r="17" spans="1:13" ht="18" x14ac:dyDescent="0.25">
      <c r="A17" s="33">
        <v>12</v>
      </c>
      <c r="B17" s="33">
        <v>12</v>
      </c>
      <c r="C17" s="77">
        <v>46350</v>
      </c>
      <c r="D17" s="8">
        <v>150</v>
      </c>
      <c r="E17" s="8"/>
      <c r="F17" s="33">
        <v>150</v>
      </c>
      <c r="G17" s="8" t="s">
        <v>221</v>
      </c>
      <c r="H17" s="2"/>
      <c r="I17" s="2"/>
      <c r="J17" s="2"/>
      <c r="K17" s="2"/>
      <c r="L17" s="2"/>
      <c r="M17" s="2"/>
    </row>
    <row r="18" spans="1:13" ht="18" x14ac:dyDescent="0.25">
      <c r="A18" s="33"/>
      <c r="B18" s="33"/>
      <c r="C18" s="77"/>
      <c r="D18" s="8"/>
      <c r="E18" s="8"/>
      <c r="F18" s="33"/>
      <c r="G18" s="8"/>
      <c r="H18" s="2"/>
      <c r="I18" s="2"/>
      <c r="J18" s="2"/>
      <c r="K18" s="2"/>
      <c r="L18" s="2"/>
      <c r="M18" s="2"/>
    </row>
    <row r="19" spans="1:13" ht="18" x14ac:dyDescent="0.25">
      <c r="A19" s="33"/>
      <c r="B19" s="33"/>
      <c r="C19" s="77"/>
      <c r="D19" s="8"/>
      <c r="E19" s="8"/>
      <c r="F19" s="33"/>
      <c r="G19" s="8"/>
      <c r="H19" s="2"/>
      <c r="I19" s="2"/>
      <c r="J19" s="2"/>
      <c r="K19" s="2"/>
      <c r="L19" s="2"/>
      <c r="M19" s="2"/>
    </row>
    <row r="20" spans="1:13" ht="18" x14ac:dyDescent="0.25">
      <c r="A20" s="33"/>
      <c r="B20" s="33"/>
      <c r="C20" s="77"/>
      <c r="D20" s="8"/>
      <c r="E20" s="8"/>
      <c r="F20" s="33"/>
      <c r="G20" s="8"/>
      <c r="H20" s="2"/>
      <c r="I20" s="2"/>
      <c r="J20" s="2"/>
      <c r="K20" s="2"/>
      <c r="L20" s="2"/>
      <c r="M20" s="2"/>
    </row>
    <row r="21" spans="1:13" ht="18" x14ac:dyDescent="0.25">
      <c r="A21" s="33"/>
      <c r="B21" s="33"/>
      <c r="C21" s="77"/>
      <c r="D21" s="8"/>
      <c r="E21" s="8"/>
      <c r="F21" s="33"/>
      <c r="G21" s="8"/>
      <c r="H21" s="2"/>
      <c r="I21" s="2"/>
      <c r="J21" s="2"/>
      <c r="K21" s="2"/>
      <c r="L21" s="2"/>
      <c r="M21" s="2"/>
    </row>
    <row r="22" spans="1:13" ht="18" x14ac:dyDescent="0.25">
      <c r="A22" s="33"/>
      <c r="B22" s="33"/>
      <c r="C22" s="77"/>
      <c r="D22" s="8"/>
      <c r="E22" s="8"/>
      <c r="F22" s="33"/>
      <c r="G22" s="8"/>
      <c r="H22" s="2"/>
      <c r="I22" s="2"/>
      <c r="J22" s="2"/>
      <c r="K22" s="2"/>
      <c r="L22" s="2"/>
      <c r="M22" s="2"/>
    </row>
    <row r="23" spans="1:13" ht="18" x14ac:dyDescent="0.25">
      <c r="A23" s="33"/>
      <c r="B23" s="33"/>
      <c r="C23" s="77"/>
      <c r="D23" s="8"/>
      <c r="E23" s="8"/>
      <c r="F23" s="33"/>
      <c r="G23" s="8"/>
      <c r="H23" s="2"/>
      <c r="I23" s="2"/>
      <c r="J23" s="2"/>
      <c r="K23" s="2"/>
      <c r="L23" s="2"/>
      <c r="M23" s="2"/>
    </row>
    <row r="24" spans="1:13" ht="18" x14ac:dyDescent="0.25">
      <c r="A24" s="33"/>
      <c r="B24" s="33"/>
      <c r="C24" s="77"/>
      <c r="D24" s="8"/>
      <c r="E24" s="8"/>
      <c r="F24" s="33"/>
      <c r="G24" s="8"/>
      <c r="H24" s="2"/>
      <c r="I24" s="2"/>
      <c r="J24" s="2"/>
      <c r="K24" s="2"/>
      <c r="L24" s="2"/>
      <c r="M24" s="2"/>
    </row>
    <row r="25" spans="1:13" ht="18" x14ac:dyDescent="0.25">
      <c r="A25" s="33"/>
      <c r="B25" s="33"/>
      <c r="C25" s="77"/>
      <c r="D25" s="8"/>
      <c r="E25" s="8"/>
      <c r="F25" s="33"/>
      <c r="G25" s="8"/>
      <c r="H25" s="2"/>
      <c r="I25" s="2"/>
      <c r="J25" s="2"/>
      <c r="K25" s="2"/>
      <c r="L25" s="2"/>
      <c r="M25" s="2"/>
    </row>
    <row r="26" spans="1:13" ht="18" x14ac:dyDescent="0.25">
      <c r="A26" s="33"/>
      <c r="B26" s="33"/>
      <c r="C26" s="77"/>
      <c r="D26" s="8"/>
      <c r="E26" s="8"/>
      <c r="F26" s="33"/>
      <c r="G26" s="8"/>
      <c r="H26" s="2"/>
      <c r="I26" s="2"/>
      <c r="J26" s="2"/>
      <c r="K26" s="2"/>
      <c r="L26" s="2"/>
      <c r="M26" s="2"/>
    </row>
    <row r="27" spans="1:13" ht="18" x14ac:dyDescent="0.25">
      <c r="A27" s="33"/>
      <c r="B27" s="33"/>
      <c r="C27" s="77"/>
      <c r="D27" s="8"/>
      <c r="E27" s="8"/>
      <c r="F27" s="33"/>
      <c r="G27" s="8"/>
      <c r="H27" s="2"/>
      <c r="I27" s="2"/>
      <c r="J27" s="2"/>
      <c r="K27" s="2"/>
      <c r="L27" s="2"/>
      <c r="M27" s="2"/>
    </row>
    <row r="28" spans="1:13" ht="18" x14ac:dyDescent="0.25">
      <c r="A28" s="33"/>
      <c r="B28" s="33"/>
      <c r="C28" s="77"/>
      <c r="D28" s="8"/>
      <c r="E28" s="8"/>
      <c r="F28" s="33"/>
      <c r="G28" s="8"/>
      <c r="H28" s="2"/>
      <c r="I28" s="2"/>
      <c r="J28" s="2"/>
      <c r="K28" s="2"/>
      <c r="L28" s="2"/>
      <c r="M28" s="2"/>
    </row>
    <row r="29" spans="1:13" ht="18" x14ac:dyDescent="0.25">
      <c r="A29" s="33"/>
      <c r="B29" s="33"/>
      <c r="C29" s="77"/>
      <c r="D29" s="8"/>
      <c r="E29" s="8"/>
      <c r="F29" s="33"/>
      <c r="G29" s="8"/>
      <c r="H29" s="2"/>
      <c r="I29" s="2"/>
      <c r="J29" s="2"/>
      <c r="K29" s="2"/>
      <c r="L29" s="2"/>
      <c r="M29" s="2"/>
    </row>
    <row r="30" spans="1:13" ht="18" x14ac:dyDescent="0.25">
      <c r="A30" s="33"/>
      <c r="B30" s="33"/>
      <c r="C30" s="77"/>
      <c r="D30" s="8"/>
      <c r="E30" s="8"/>
      <c r="F30" s="33"/>
      <c r="G30" s="8"/>
      <c r="H30" s="2"/>
      <c r="I30" s="2"/>
      <c r="J30" s="2"/>
      <c r="K30" s="2"/>
      <c r="L30" s="2"/>
      <c r="M30" s="2"/>
    </row>
    <row r="31" spans="1:13" ht="18" x14ac:dyDescent="0.25">
      <c r="A31" s="33"/>
      <c r="B31" s="33"/>
      <c r="C31" s="77"/>
      <c r="D31" s="8"/>
      <c r="E31" s="8"/>
      <c r="F31" s="33"/>
      <c r="G31" s="8"/>
      <c r="H31" s="2"/>
      <c r="I31" s="2"/>
      <c r="J31" s="2"/>
      <c r="K31" s="2"/>
      <c r="L31" s="2"/>
      <c r="M31" s="2"/>
    </row>
    <row r="32" spans="1:13" ht="18" x14ac:dyDescent="0.25">
      <c r="A32" s="33"/>
      <c r="B32" s="33"/>
      <c r="C32" s="77"/>
      <c r="D32" s="8"/>
      <c r="E32" s="8"/>
      <c r="F32" s="33"/>
      <c r="G32" s="8"/>
      <c r="H32" s="2"/>
      <c r="I32" s="2"/>
      <c r="J32" s="2"/>
      <c r="K32" s="2"/>
      <c r="L32" s="2"/>
      <c r="M32" s="2"/>
    </row>
    <row r="33" spans="1:13" ht="18" x14ac:dyDescent="0.25">
      <c r="A33" s="33"/>
      <c r="B33" s="33"/>
      <c r="C33" s="77"/>
      <c r="D33" s="8"/>
      <c r="E33" s="8"/>
      <c r="F33" s="33"/>
      <c r="G33" s="8"/>
      <c r="H33" s="2"/>
      <c r="I33" s="2"/>
      <c r="J33" s="2"/>
      <c r="K33" s="2"/>
      <c r="L33" s="2"/>
      <c r="M33" s="2"/>
    </row>
    <row r="34" spans="1:13" ht="18" x14ac:dyDescent="0.25">
      <c r="A34" s="33"/>
      <c r="B34" s="33"/>
      <c r="C34" s="77"/>
      <c r="D34" s="8"/>
      <c r="E34" s="8"/>
      <c r="F34" s="33"/>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Q34"/>
  <sheetViews>
    <sheetView rightToLeft="1" topLeftCell="B1" workbookViewId="0">
      <selection activeCell="D10" sqref="D10:D12"/>
    </sheetView>
  </sheetViews>
  <sheetFormatPr defaultRowHeight="14.25" x14ac:dyDescent="0.2"/>
  <cols>
    <col min="1" max="2" width="4.375" style="3" customWidth="1"/>
    <col min="3" max="3" width="14.875" style="7" bestFit="1" customWidth="1"/>
    <col min="4" max="4" width="8.25" style="3" bestFit="1" customWidth="1"/>
    <col min="5" max="5" width="24.75" style="3" bestFit="1" customWidth="1"/>
    <col min="6" max="6" width="9.75" style="3" customWidth="1"/>
    <col min="7" max="7" width="9" style="3"/>
  </cols>
  <sheetData>
    <row r="2" spans="1:17" ht="26.25" x14ac:dyDescent="0.4">
      <c r="C2" s="99" t="s">
        <v>16</v>
      </c>
      <c r="D2" s="99"/>
      <c r="E2" s="99"/>
      <c r="F2" s="99"/>
      <c r="G2" s="99"/>
      <c r="H2" s="99"/>
      <c r="I2" s="99"/>
      <c r="J2" s="99"/>
      <c r="K2" s="99"/>
      <c r="L2" s="99"/>
      <c r="M2" s="99"/>
      <c r="N2" s="99"/>
      <c r="O2" s="99"/>
      <c r="P2" s="99"/>
      <c r="Q2" s="99"/>
    </row>
    <row r="3" spans="1:17" ht="56.25" x14ac:dyDescent="0.4">
      <c r="C3" s="1"/>
      <c r="D3" s="18" t="s">
        <v>8</v>
      </c>
      <c r="E3" s="18"/>
      <c r="F3" s="18" t="s">
        <v>18</v>
      </c>
      <c r="G3" s="1"/>
      <c r="H3" s="1"/>
      <c r="I3" s="1"/>
      <c r="J3" s="1"/>
      <c r="K3" s="1"/>
      <c r="L3" s="1"/>
      <c r="M3" s="1"/>
      <c r="N3" s="1"/>
      <c r="O3" s="1"/>
      <c r="P3" s="1"/>
      <c r="Q3" s="1"/>
    </row>
    <row r="4" spans="1:17" ht="18" x14ac:dyDescent="0.25">
      <c r="C4" s="10"/>
      <c r="D4" s="11">
        <f>SUM(D6:D2001)</f>
        <v>1050</v>
      </c>
      <c r="E4" s="11"/>
      <c r="F4" s="11">
        <f>SUM(F6:F2001)</f>
        <v>1800</v>
      </c>
      <c r="M4" t="s">
        <v>207</v>
      </c>
    </row>
    <row r="5" spans="1:17" ht="36" x14ac:dyDescent="0.2">
      <c r="A5" s="4" t="s">
        <v>7</v>
      </c>
      <c r="B5" s="4" t="s">
        <v>17</v>
      </c>
      <c r="C5" s="6" t="s">
        <v>1</v>
      </c>
      <c r="D5" s="4" t="s">
        <v>2</v>
      </c>
      <c r="E5" s="4" t="s">
        <v>4</v>
      </c>
      <c r="F5" s="4" t="s">
        <v>19</v>
      </c>
      <c r="G5" s="4" t="s">
        <v>4</v>
      </c>
      <c r="H5" s="5"/>
      <c r="I5" s="5"/>
      <c r="J5" s="5"/>
      <c r="K5" s="5"/>
      <c r="L5" s="5"/>
      <c r="M5" s="5"/>
    </row>
    <row r="6" spans="1:17" ht="18" x14ac:dyDescent="0.25">
      <c r="A6" s="8">
        <v>1</v>
      </c>
      <c r="B6" s="73">
        <v>1</v>
      </c>
      <c r="C6" s="51">
        <v>46034</v>
      </c>
      <c r="D6" s="73">
        <v>150</v>
      </c>
      <c r="E6" s="8"/>
      <c r="F6" s="73">
        <v>150</v>
      </c>
      <c r="G6" s="8" t="s">
        <v>229</v>
      </c>
      <c r="H6" s="2"/>
      <c r="I6" s="2"/>
      <c r="J6" s="2"/>
      <c r="K6" s="2"/>
      <c r="L6" s="2"/>
      <c r="M6" s="2"/>
    </row>
    <row r="7" spans="1:17" ht="18" x14ac:dyDescent="0.25">
      <c r="A7" s="8">
        <v>2</v>
      </c>
      <c r="B7" s="73">
        <v>2</v>
      </c>
      <c r="C7" s="51">
        <v>46087</v>
      </c>
      <c r="D7" s="73">
        <v>150</v>
      </c>
      <c r="E7" s="8"/>
      <c r="F7" s="73">
        <v>150</v>
      </c>
      <c r="G7" s="8" t="s">
        <v>230</v>
      </c>
      <c r="H7" s="2"/>
      <c r="I7" s="2"/>
      <c r="J7" s="2"/>
      <c r="K7" s="2"/>
      <c r="L7" s="2"/>
      <c r="M7" s="2"/>
    </row>
    <row r="8" spans="1:17" ht="18" x14ac:dyDescent="0.25">
      <c r="A8" s="8">
        <v>3</v>
      </c>
      <c r="B8" s="73">
        <v>3</v>
      </c>
      <c r="C8" s="51">
        <v>46115</v>
      </c>
      <c r="D8" s="73">
        <v>150</v>
      </c>
      <c r="E8" s="8"/>
      <c r="F8" s="73">
        <v>150</v>
      </c>
      <c r="G8" s="8" t="s">
        <v>224</v>
      </c>
      <c r="H8" s="2"/>
      <c r="I8" s="2"/>
      <c r="J8" s="2"/>
      <c r="K8" s="2"/>
      <c r="L8" s="2"/>
      <c r="M8" s="2"/>
    </row>
    <row r="9" spans="1:17" ht="18" x14ac:dyDescent="0.25">
      <c r="A9" s="8">
        <v>4</v>
      </c>
      <c r="B9" s="73">
        <v>4</v>
      </c>
      <c r="C9" s="51">
        <v>46222</v>
      </c>
      <c r="D9" s="73">
        <v>150</v>
      </c>
      <c r="E9" s="8"/>
      <c r="F9" s="73">
        <v>150</v>
      </c>
      <c r="G9" s="8" t="s">
        <v>225</v>
      </c>
      <c r="H9" s="2"/>
      <c r="I9" s="2"/>
      <c r="J9" s="2"/>
      <c r="K9" s="2"/>
      <c r="L9" s="2"/>
      <c r="M9" s="2"/>
    </row>
    <row r="10" spans="1:17" ht="18" x14ac:dyDescent="0.25">
      <c r="A10" s="8">
        <v>5</v>
      </c>
      <c r="B10" s="73">
        <v>5</v>
      </c>
      <c r="C10" s="51">
        <v>46222</v>
      </c>
      <c r="D10" s="73">
        <v>150</v>
      </c>
      <c r="E10" s="8"/>
      <c r="F10" s="73">
        <v>150</v>
      </c>
      <c r="G10" s="8" t="s">
        <v>226</v>
      </c>
      <c r="H10" s="2"/>
      <c r="I10" s="2"/>
      <c r="J10" s="2"/>
      <c r="K10" s="2"/>
      <c r="L10" s="2"/>
      <c r="M10" s="2"/>
    </row>
    <row r="11" spans="1:17" ht="18" x14ac:dyDescent="0.25">
      <c r="A11" s="8">
        <v>6</v>
      </c>
      <c r="B11" s="73">
        <v>6</v>
      </c>
      <c r="C11" s="98">
        <v>46232</v>
      </c>
      <c r="D11" s="73">
        <v>150</v>
      </c>
      <c r="E11" s="8"/>
      <c r="F11" s="73">
        <v>150</v>
      </c>
      <c r="G11" s="8" t="s">
        <v>227</v>
      </c>
      <c r="H11" s="2"/>
      <c r="I11" s="2"/>
      <c r="J11" s="2"/>
      <c r="K11" s="2"/>
      <c r="L11" s="2"/>
      <c r="M11" s="2"/>
    </row>
    <row r="12" spans="1:17" ht="18" x14ac:dyDescent="0.25">
      <c r="A12" s="8">
        <v>7</v>
      </c>
      <c r="B12" s="73">
        <v>7</v>
      </c>
      <c r="C12" s="98">
        <v>46232</v>
      </c>
      <c r="D12" s="73">
        <v>150</v>
      </c>
      <c r="E12" s="8"/>
      <c r="F12" s="73">
        <v>150</v>
      </c>
      <c r="G12" s="8" t="s">
        <v>231</v>
      </c>
      <c r="H12" s="2"/>
      <c r="I12" s="2"/>
      <c r="J12" s="2"/>
      <c r="K12" s="2"/>
      <c r="L12" s="2"/>
      <c r="M12" s="2"/>
    </row>
    <row r="13" spans="1:17" ht="18" x14ac:dyDescent="0.25">
      <c r="A13" s="8">
        <v>8</v>
      </c>
      <c r="B13" s="73">
        <v>8</v>
      </c>
      <c r="C13" s="51">
        <v>46306</v>
      </c>
      <c r="D13" s="73"/>
      <c r="E13" s="8"/>
      <c r="F13" s="73">
        <v>150</v>
      </c>
      <c r="G13" s="8" t="s">
        <v>232</v>
      </c>
      <c r="H13" s="2"/>
      <c r="I13" s="2"/>
      <c r="J13" s="2"/>
      <c r="K13" s="2"/>
      <c r="L13" s="2"/>
      <c r="M13" s="2"/>
    </row>
    <row r="14" spans="1:17" ht="18" x14ac:dyDescent="0.25">
      <c r="A14" s="8">
        <v>9</v>
      </c>
      <c r="B14" s="73">
        <v>9</v>
      </c>
      <c r="C14" s="77">
        <v>46306</v>
      </c>
      <c r="D14" s="73"/>
      <c r="E14" s="8"/>
      <c r="F14" s="73">
        <v>150</v>
      </c>
      <c r="G14" s="8" t="s">
        <v>233</v>
      </c>
      <c r="H14" s="2"/>
      <c r="I14" s="2"/>
      <c r="J14" s="2"/>
      <c r="K14" s="2"/>
      <c r="L14" s="2"/>
      <c r="M14" s="2"/>
    </row>
    <row r="15" spans="1:17" ht="18" x14ac:dyDescent="0.25">
      <c r="A15" s="8">
        <v>10</v>
      </c>
      <c r="B15" s="73">
        <v>10</v>
      </c>
      <c r="C15" s="77">
        <v>46360</v>
      </c>
      <c r="D15" s="73"/>
      <c r="E15" s="8"/>
      <c r="F15" s="73">
        <v>150</v>
      </c>
      <c r="G15" s="8" t="s">
        <v>234</v>
      </c>
      <c r="H15" s="2"/>
      <c r="I15" s="2"/>
      <c r="J15" s="2"/>
      <c r="K15" s="2"/>
      <c r="L15" s="2"/>
      <c r="M15" s="2"/>
    </row>
    <row r="16" spans="1:17" ht="18" x14ac:dyDescent="0.25">
      <c r="A16" s="8">
        <v>11</v>
      </c>
      <c r="B16" s="73">
        <v>11</v>
      </c>
      <c r="C16" s="77">
        <v>46360</v>
      </c>
      <c r="D16" s="73"/>
      <c r="E16" s="8"/>
      <c r="F16" s="73">
        <v>150</v>
      </c>
      <c r="G16" s="8" t="s">
        <v>235</v>
      </c>
      <c r="H16" s="2"/>
      <c r="I16" s="2"/>
      <c r="J16" s="2"/>
      <c r="K16" s="2"/>
      <c r="L16" s="2"/>
      <c r="M16" s="2"/>
    </row>
    <row r="17" spans="1:13" ht="18" x14ac:dyDescent="0.25">
      <c r="A17" s="8">
        <v>12</v>
      </c>
      <c r="B17" s="73">
        <v>12</v>
      </c>
      <c r="C17" s="77">
        <v>46360</v>
      </c>
      <c r="D17" s="73"/>
      <c r="E17" s="8"/>
      <c r="F17" s="73">
        <v>150</v>
      </c>
      <c r="G17" s="8" t="s">
        <v>221</v>
      </c>
      <c r="H17" s="2"/>
      <c r="I17" s="2"/>
      <c r="J17" s="2"/>
      <c r="K17" s="2"/>
      <c r="L17" s="2"/>
      <c r="M17" s="2"/>
    </row>
    <row r="18" spans="1:13" ht="18" x14ac:dyDescent="0.25">
      <c r="A18" s="8"/>
      <c r="B18" s="8"/>
      <c r="C18" s="9"/>
      <c r="D18" s="8"/>
      <c r="E18" s="8"/>
      <c r="F18" s="8"/>
      <c r="G18" s="8"/>
      <c r="H18" s="2"/>
      <c r="I18" s="2"/>
      <c r="J18" s="2"/>
      <c r="K18" s="2"/>
      <c r="L18" s="2"/>
      <c r="M18" s="2"/>
    </row>
    <row r="19" spans="1:13" ht="18" x14ac:dyDescent="0.25">
      <c r="A19" s="8"/>
      <c r="B19" s="8"/>
      <c r="C19" s="9"/>
      <c r="D19" s="8"/>
      <c r="E19" s="8"/>
      <c r="F19" s="8"/>
      <c r="G19" s="8"/>
      <c r="H19" s="2"/>
      <c r="I19" s="2"/>
      <c r="J19" s="2"/>
      <c r="K19" s="2"/>
      <c r="L19" s="2"/>
      <c r="M19" s="2"/>
    </row>
    <row r="20" spans="1:13" ht="18" x14ac:dyDescent="0.25">
      <c r="A20" s="8"/>
      <c r="B20" s="8"/>
      <c r="C20" s="9"/>
      <c r="D20" s="8"/>
      <c r="E20" s="8"/>
      <c r="F20" s="8"/>
      <c r="G20" s="8"/>
      <c r="H20" s="2"/>
      <c r="I20" s="2"/>
      <c r="J20" s="2"/>
      <c r="K20" s="2"/>
      <c r="L20" s="2"/>
      <c r="M20" s="2"/>
    </row>
    <row r="21" spans="1:13" ht="18" x14ac:dyDescent="0.25">
      <c r="A21" s="8"/>
      <c r="B21" s="8"/>
      <c r="C21" s="9"/>
      <c r="D21" s="8"/>
      <c r="E21" s="8"/>
      <c r="F21" s="8"/>
      <c r="G21" s="8"/>
      <c r="H21" s="2"/>
      <c r="I21" s="2"/>
      <c r="J21" s="2"/>
      <c r="K21" s="2"/>
      <c r="L21" s="2"/>
      <c r="M21" s="2"/>
    </row>
    <row r="22" spans="1:13" ht="18" x14ac:dyDescent="0.25">
      <c r="A22" s="8"/>
      <c r="B22" s="8"/>
      <c r="C22" s="9"/>
      <c r="D22" s="8"/>
      <c r="E22" s="8"/>
      <c r="F22" s="8"/>
      <c r="G22" s="8"/>
      <c r="H22" s="2"/>
      <c r="I22" s="2"/>
      <c r="J22" s="2"/>
      <c r="K22" s="2"/>
      <c r="L22" s="2"/>
      <c r="M22" s="2"/>
    </row>
    <row r="23" spans="1:13" ht="18" x14ac:dyDescent="0.25">
      <c r="A23" s="8"/>
      <c r="B23" s="8"/>
      <c r="C23" s="9"/>
      <c r="D23" s="8"/>
      <c r="E23" s="8"/>
      <c r="F23" s="8"/>
      <c r="G23" s="8"/>
      <c r="H23" s="2"/>
      <c r="I23" s="2"/>
      <c r="J23" s="2"/>
      <c r="K23" s="2"/>
      <c r="L23" s="2"/>
      <c r="M23" s="2"/>
    </row>
    <row r="24" spans="1:13" ht="18" x14ac:dyDescent="0.25">
      <c r="A24" s="8"/>
      <c r="B24" s="8"/>
      <c r="C24" s="9"/>
      <c r="D24" s="8"/>
      <c r="E24" s="8"/>
      <c r="F24" s="8"/>
      <c r="G24" s="8"/>
      <c r="H24" s="2"/>
      <c r="I24" s="2"/>
      <c r="J24" s="2"/>
      <c r="K24" s="2"/>
      <c r="L24" s="2"/>
      <c r="M24" s="2"/>
    </row>
    <row r="25" spans="1:13" ht="18" x14ac:dyDescent="0.25">
      <c r="A25" s="8"/>
      <c r="B25" s="8"/>
      <c r="C25" s="9"/>
      <c r="D25" s="8"/>
      <c r="E25" s="8"/>
      <c r="F25" s="8"/>
      <c r="G25" s="8"/>
      <c r="H25" s="2"/>
      <c r="I25" s="2"/>
      <c r="J25" s="2"/>
      <c r="K25" s="2"/>
      <c r="L25" s="2"/>
      <c r="M25" s="2"/>
    </row>
    <row r="26" spans="1:13" ht="18" x14ac:dyDescent="0.25">
      <c r="A26" s="8"/>
      <c r="B26" s="8"/>
      <c r="C26" s="9"/>
      <c r="D26" s="8"/>
      <c r="E26" s="8"/>
      <c r="F26" s="8"/>
      <c r="G26" s="8"/>
      <c r="H26" s="2"/>
      <c r="I26" s="2"/>
      <c r="J26" s="2"/>
      <c r="K26" s="2"/>
      <c r="L26" s="2"/>
      <c r="M26" s="2"/>
    </row>
    <row r="27" spans="1:13" ht="18" x14ac:dyDescent="0.25">
      <c r="A27" s="8"/>
      <c r="B27" s="8"/>
      <c r="C27" s="9"/>
      <c r="D27" s="8"/>
      <c r="E27" s="8"/>
      <c r="F27" s="8"/>
      <c r="G27" s="8"/>
      <c r="H27" s="2"/>
      <c r="I27" s="2"/>
      <c r="J27" s="2"/>
      <c r="K27" s="2"/>
      <c r="L27" s="2"/>
      <c r="M27" s="2"/>
    </row>
    <row r="28" spans="1:13" ht="18" x14ac:dyDescent="0.25">
      <c r="A28" s="8"/>
      <c r="B28" s="8"/>
      <c r="C28" s="9"/>
      <c r="D28" s="8"/>
      <c r="E28" s="8"/>
      <c r="F28" s="8"/>
      <c r="G28" s="8"/>
      <c r="H28" s="2"/>
      <c r="I28" s="2"/>
      <c r="J28" s="2"/>
      <c r="K28" s="2"/>
      <c r="L28" s="2"/>
      <c r="M28" s="2"/>
    </row>
    <row r="29" spans="1:13" ht="18" x14ac:dyDescent="0.25">
      <c r="A29" s="8"/>
      <c r="B29" s="8"/>
      <c r="C29" s="9"/>
      <c r="D29" s="8"/>
      <c r="E29" s="8"/>
      <c r="F29" s="8"/>
      <c r="G29" s="8"/>
      <c r="H29" s="2"/>
      <c r="I29" s="2"/>
      <c r="J29" s="2"/>
      <c r="K29" s="2"/>
      <c r="L29" s="2"/>
      <c r="M29" s="2"/>
    </row>
    <row r="30" spans="1:13" ht="18" x14ac:dyDescent="0.25">
      <c r="A30" s="8"/>
      <c r="B30" s="8"/>
      <c r="C30" s="9"/>
      <c r="D30" s="8"/>
      <c r="E30" s="8"/>
      <c r="F30" s="8"/>
      <c r="G30" s="8"/>
      <c r="H30" s="2"/>
      <c r="I30" s="2"/>
      <c r="J30" s="2"/>
      <c r="K30" s="2"/>
      <c r="L30" s="2"/>
      <c r="M30" s="2"/>
    </row>
    <row r="31" spans="1:13" ht="18" x14ac:dyDescent="0.25">
      <c r="A31" s="8"/>
      <c r="B31" s="8"/>
      <c r="C31" s="9"/>
      <c r="D31" s="8"/>
      <c r="E31" s="8"/>
      <c r="F31" s="8"/>
      <c r="G31" s="8"/>
      <c r="H31" s="2"/>
      <c r="I31" s="2"/>
      <c r="J31" s="2"/>
      <c r="K31" s="2"/>
      <c r="L31" s="2"/>
      <c r="M31" s="2"/>
    </row>
    <row r="32" spans="1:13" ht="18" x14ac:dyDescent="0.25">
      <c r="A32" s="8"/>
      <c r="B32" s="8"/>
      <c r="C32" s="9"/>
      <c r="D32" s="8"/>
      <c r="E32" s="8"/>
      <c r="F32" s="8"/>
      <c r="G32" s="8"/>
      <c r="H32" s="2"/>
      <c r="I32" s="2"/>
      <c r="J32" s="2"/>
      <c r="K32" s="2"/>
      <c r="L32" s="2"/>
      <c r="M32" s="2"/>
    </row>
    <row r="33" spans="1:13" ht="18" x14ac:dyDescent="0.25">
      <c r="A33" s="8"/>
      <c r="B33" s="8"/>
      <c r="C33" s="9"/>
      <c r="D33" s="8"/>
      <c r="E33" s="8"/>
      <c r="F33" s="8"/>
      <c r="G33" s="8"/>
      <c r="H33" s="2"/>
      <c r="I33" s="2"/>
      <c r="J33" s="2"/>
      <c r="K33" s="2"/>
      <c r="L33" s="2"/>
      <c r="M33" s="2"/>
    </row>
    <row r="34" spans="1:13" ht="18" x14ac:dyDescent="0.25">
      <c r="A34" s="8"/>
      <c r="B34" s="8"/>
      <c r="C34" s="9"/>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Q105"/>
  <sheetViews>
    <sheetView rightToLeft="1" tabSelected="1" topLeftCell="A80" workbookViewId="0">
      <selection activeCell="B85" sqref="B85:B86"/>
    </sheetView>
  </sheetViews>
  <sheetFormatPr defaultRowHeight="14.25" x14ac:dyDescent="0.2"/>
  <cols>
    <col min="1" max="1" width="11" style="3" customWidth="1"/>
    <col min="2" max="2" width="17.375" style="52" customWidth="1"/>
    <col min="3" max="3" width="17.375" style="56" customWidth="1"/>
    <col min="4" max="4" width="17.375" style="3" customWidth="1"/>
    <col min="5" max="5" width="21" style="3" bestFit="1" customWidth="1"/>
    <col min="6" max="7" width="17.375" style="3" customWidth="1"/>
    <col min="8" max="9" width="17.375" customWidth="1"/>
    <col min="10" max="17" width="19.375" customWidth="1"/>
  </cols>
  <sheetData>
    <row r="2" spans="1:17" ht="26.25" x14ac:dyDescent="0.4">
      <c r="A2" s="3" t="s">
        <v>190</v>
      </c>
      <c r="B2" s="1" t="s">
        <v>191</v>
      </c>
      <c r="C2" s="1" t="s">
        <v>192</v>
      </c>
      <c r="D2" s="1" t="s">
        <v>193</v>
      </c>
      <c r="E2" s="1" t="s">
        <v>194</v>
      </c>
      <c r="F2" s="1" t="s">
        <v>195</v>
      </c>
      <c r="G2" s="1" t="s">
        <v>196</v>
      </c>
      <c r="H2" s="1" t="s">
        <v>197</v>
      </c>
      <c r="I2" s="1" t="s">
        <v>198</v>
      </c>
      <c r="J2" s="1" t="s">
        <v>199</v>
      </c>
      <c r="K2" s="1" t="s">
        <v>200</v>
      </c>
      <c r="L2" s="1" t="s">
        <v>201</v>
      </c>
      <c r="M2" s="1" t="s">
        <v>202</v>
      </c>
      <c r="N2" s="1" t="s">
        <v>203</v>
      </c>
      <c r="O2" s="1" t="s">
        <v>204</v>
      </c>
      <c r="P2" s="1" t="s">
        <v>205</v>
      </c>
      <c r="Q2" s="1" t="s">
        <v>206</v>
      </c>
    </row>
    <row r="3" spans="1:17" ht="26.25" x14ac:dyDescent="0.4">
      <c r="B3" s="1" t="s">
        <v>0</v>
      </c>
      <c r="C3" s="1"/>
      <c r="D3" s="1"/>
      <c r="E3" s="1"/>
      <c r="F3" s="1"/>
      <c r="G3" s="1"/>
      <c r="H3" s="1"/>
      <c r="I3" s="1"/>
      <c r="J3" s="1"/>
      <c r="K3" s="1"/>
      <c r="L3" s="1"/>
      <c r="M3" s="1"/>
      <c r="N3" s="1"/>
      <c r="O3" s="1"/>
      <c r="P3" s="1"/>
      <c r="Q3" s="1"/>
    </row>
    <row r="4" spans="1:17" ht="18" x14ac:dyDescent="0.25">
      <c r="B4" s="49" t="s">
        <v>9</v>
      </c>
      <c r="C4" s="53">
        <f>SUM(C6:C2000)</f>
        <v>19731</v>
      </c>
    </row>
    <row r="5" spans="1:17" ht="18" x14ac:dyDescent="0.2">
      <c r="A5" s="4" t="s">
        <v>7</v>
      </c>
      <c r="B5" s="50" t="s">
        <v>1</v>
      </c>
      <c r="C5" s="54" t="s">
        <v>2</v>
      </c>
      <c r="D5" s="4" t="s">
        <v>5</v>
      </c>
      <c r="E5" s="4" t="s">
        <v>6</v>
      </c>
      <c r="F5" s="4" t="s">
        <v>3</v>
      </c>
      <c r="G5" s="4" t="s">
        <v>4</v>
      </c>
      <c r="H5" s="5"/>
      <c r="I5" s="5"/>
      <c r="J5" s="5"/>
      <c r="K5" s="5"/>
      <c r="L5" s="5"/>
      <c r="M5" s="5"/>
    </row>
    <row r="6" spans="1:17" ht="18" x14ac:dyDescent="0.25">
      <c r="A6" s="8">
        <v>1</v>
      </c>
      <c r="B6" s="51">
        <v>46009</v>
      </c>
      <c r="C6" s="55">
        <v>0</v>
      </c>
      <c r="D6" s="8"/>
      <c r="E6" s="8" t="s">
        <v>213</v>
      </c>
      <c r="F6" s="8">
        <v>10</v>
      </c>
      <c r="G6" s="8" t="s">
        <v>242</v>
      </c>
      <c r="H6" s="2"/>
      <c r="I6" s="2"/>
      <c r="J6" s="2"/>
      <c r="K6" s="2"/>
      <c r="L6" s="2"/>
      <c r="M6" s="2"/>
    </row>
    <row r="7" spans="1:17" ht="18" x14ac:dyDescent="0.25">
      <c r="A7" s="8">
        <v>2</v>
      </c>
      <c r="B7" s="51">
        <v>46022</v>
      </c>
      <c r="C7" s="55">
        <v>75</v>
      </c>
      <c r="E7" s="8" t="s">
        <v>160</v>
      </c>
      <c r="F7" s="8">
        <v>2</v>
      </c>
      <c r="G7" s="8" t="s">
        <v>243</v>
      </c>
      <c r="H7" s="2"/>
      <c r="I7" s="2"/>
      <c r="J7" s="2"/>
      <c r="K7" s="2"/>
      <c r="L7" s="2"/>
      <c r="M7" s="2"/>
    </row>
    <row r="8" spans="1:17" ht="18" x14ac:dyDescent="0.25">
      <c r="A8" s="8">
        <v>3</v>
      </c>
      <c r="B8" s="51">
        <v>46024</v>
      </c>
      <c r="C8" s="55">
        <v>300</v>
      </c>
      <c r="D8" s="8"/>
      <c r="E8" s="8" t="s">
        <v>48</v>
      </c>
      <c r="F8" s="8">
        <v>7</v>
      </c>
      <c r="G8" s="8" t="s">
        <v>222</v>
      </c>
      <c r="H8" s="2"/>
      <c r="I8" s="2"/>
      <c r="J8" s="2"/>
      <c r="K8" s="2"/>
      <c r="L8" s="2"/>
      <c r="M8" s="2"/>
    </row>
    <row r="9" spans="1:17" ht="18" x14ac:dyDescent="0.25">
      <c r="A9" s="8">
        <v>4</v>
      </c>
      <c r="B9" s="51">
        <v>46024</v>
      </c>
      <c r="C9" s="55">
        <v>150</v>
      </c>
      <c r="D9" s="8"/>
      <c r="E9" s="8" t="s">
        <v>244</v>
      </c>
      <c r="F9" s="8">
        <v>4</v>
      </c>
      <c r="G9" s="8" t="s">
        <v>222</v>
      </c>
      <c r="H9" s="2"/>
      <c r="I9" s="2"/>
      <c r="J9" s="2"/>
      <c r="K9" s="2"/>
      <c r="L9" s="2"/>
      <c r="M9" s="2"/>
    </row>
    <row r="10" spans="1:17" ht="18" x14ac:dyDescent="0.25">
      <c r="A10" s="8">
        <v>5</v>
      </c>
      <c r="B10" s="51">
        <v>46024</v>
      </c>
      <c r="C10" s="55">
        <v>150</v>
      </c>
      <c r="E10" s="8" t="s">
        <v>141</v>
      </c>
      <c r="F10" s="8">
        <v>3</v>
      </c>
      <c r="G10" s="8" t="s">
        <v>222</v>
      </c>
      <c r="H10" s="2"/>
      <c r="I10" s="2"/>
      <c r="J10" s="2"/>
      <c r="K10" s="2"/>
      <c r="L10" s="2"/>
      <c r="M10" s="2"/>
    </row>
    <row r="11" spans="1:17" ht="18" x14ac:dyDescent="0.25">
      <c r="A11" s="8">
        <v>6</v>
      </c>
      <c r="B11" s="51">
        <v>46026</v>
      </c>
      <c r="C11" s="55">
        <v>250</v>
      </c>
      <c r="E11" s="8" t="s">
        <v>142</v>
      </c>
      <c r="F11" s="8">
        <v>12</v>
      </c>
      <c r="G11" s="8" t="s">
        <v>222</v>
      </c>
      <c r="H11" s="2"/>
      <c r="I11" s="2"/>
      <c r="J11" s="2"/>
      <c r="M11" s="2"/>
    </row>
    <row r="12" spans="1:17" ht="18" x14ac:dyDescent="0.25">
      <c r="A12" s="8">
        <v>7</v>
      </c>
      <c r="B12" s="51">
        <v>46037</v>
      </c>
      <c r="C12" s="55">
        <v>150</v>
      </c>
      <c r="D12" s="8"/>
      <c r="E12" s="8" t="s">
        <v>186</v>
      </c>
      <c r="F12" s="8">
        <v>1</v>
      </c>
      <c r="G12" s="8" t="s">
        <v>229</v>
      </c>
      <c r="H12" s="2"/>
      <c r="I12" s="2"/>
      <c r="J12" s="2"/>
      <c r="M12" s="2"/>
    </row>
    <row r="13" spans="1:17" ht="18" x14ac:dyDescent="0.25">
      <c r="A13" s="8">
        <v>8</v>
      </c>
      <c r="B13" s="51">
        <v>46023</v>
      </c>
      <c r="C13" s="55">
        <v>300</v>
      </c>
      <c r="E13" s="8" t="s">
        <v>48</v>
      </c>
      <c r="F13" s="8">
        <v>7</v>
      </c>
      <c r="G13" s="8" t="s">
        <v>223</v>
      </c>
      <c r="H13" s="2"/>
      <c r="I13" s="2"/>
      <c r="J13" s="2"/>
      <c r="M13" s="2"/>
    </row>
    <row r="14" spans="1:17" ht="18" x14ac:dyDescent="0.25">
      <c r="A14" s="8">
        <v>9</v>
      </c>
      <c r="B14" s="51">
        <v>46023</v>
      </c>
      <c r="C14" s="55">
        <v>150</v>
      </c>
      <c r="D14" s="8"/>
      <c r="E14" s="8" t="s">
        <v>244</v>
      </c>
      <c r="F14" s="8">
        <v>4</v>
      </c>
      <c r="G14" s="8" t="s">
        <v>223</v>
      </c>
      <c r="H14" s="2"/>
      <c r="I14" s="2"/>
      <c r="J14" s="2"/>
      <c r="K14" s="2"/>
      <c r="L14" s="2"/>
      <c r="M14" s="2"/>
    </row>
    <row r="15" spans="1:17" ht="18" x14ac:dyDescent="0.25">
      <c r="A15" s="8">
        <v>10</v>
      </c>
      <c r="B15" s="51">
        <v>46023</v>
      </c>
      <c r="C15" s="55">
        <v>150</v>
      </c>
      <c r="D15" s="8"/>
      <c r="E15" s="8" t="s">
        <v>141</v>
      </c>
      <c r="F15" s="8">
        <v>3</v>
      </c>
      <c r="G15" s="8" t="s">
        <v>223</v>
      </c>
      <c r="H15" s="2"/>
      <c r="I15" s="2"/>
      <c r="J15" s="2"/>
      <c r="K15" s="2"/>
      <c r="L15" s="2"/>
      <c r="M15" s="2"/>
    </row>
    <row r="16" spans="1:17" ht="18" x14ac:dyDescent="0.25">
      <c r="A16" s="8">
        <v>11</v>
      </c>
      <c r="B16" s="51">
        <v>46023</v>
      </c>
      <c r="C16" s="55">
        <v>300</v>
      </c>
      <c r="D16" s="8"/>
      <c r="E16" s="8" t="s">
        <v>249</v>
      </c>
      <c r="F16" s="8">
        <v>8</v>
      </c>
      <c r="G16" s="8" t="s">
        <v>222</v>
      </c>
      <c r="H16" s="2"/>
      <c r="I16" s="2"/>
      <c r="J16" s="2"/>
      <c r="K16" s="2"/>
      <c r="L16" s="2"/>
      <c r="M16" s="2"/>
    </row>
    <row r="17" spans="1:13" ht="18" x14ac:dyDescent="0.25">
      <c r="A17" s="8">
        <v>12</v>
      </c>
      <c r="B17" s="51">
        <v>46065</v>
      </c>
      <c r="C17" s="55">
        <v>250</v>
      </c>
      <c r="E17" s="8" t="s">
        <v>142</v>
      </c>
      <c r="F17" s="8">
        <v>12</v>
      </c>
      <c r="G17" s="8" t="s">
        <v>223</v>
      </c>
      <c r="H17" s="2"/>
      <c r="I17" s="2"/>
      <c r="J17" s="2"/>
    </row>
    <row r="18" spans="1:13" ht="18" x14ac:dyDescent="0.25">
      <c r="A18" s="8">
        <v>13</v>
      </c>
      <c r="B18" s="51">
        <v>46066</v>
      </c>
      <c r="C18" s="55">
        <v>75</v>
      </c>
      <c r="E18" s="8" t="s">
        <v>160</v>
      </c>
      <c r="F18" s="8">
        <v>2</v>
      </c>
      <c r="G18" s="8" t="s">
        <v>223</v>
      </c>
      <c r="H18" s="2"/>
      <c r="I18" s="2"/>
      <c r="J18" s="2"/>
      <c r="K18" s="2"/>
      <c r="L18" s="2"/>
      <c r="M18" s="2"/>
    </row>
    <row r="19" spans="1:13" ht="18" x14ac:dyDescent="0.25">
      <c r="A19" s="8">
        <v>14</v>
      </c>
      <c r="B19" s="51">
        <v>46076</v>
      </c>
      <c r="C19" s="55">
        <v>150</v>
      </c>
      <c r="D19" s="8"/>
      <c r="E19" s="8" t="s">
        <v>186</v>
      </c>
      <c r="F19" s="8">
        <v>1</v>
      </c>
      <c r="G19" s="8" t="s">
        <v>230</v>
      </c>
      <c r="H19" s="2"/>
      <c r="I19" s="2"/>
      <c r="J19" s="2"/>
      <c r="K19" s="2"/>
      <c r="L19" s="2"/>
      <c r="M19" s="2"/>
    </row>
    <row r="20" spans="1:13" ht="18" x14ac:dyDescent="0.25">
      <c r="A20" s="8">
        <v>15</v>
      </c>
      <c r="B20" s="51">
        <v>46079</v>
      </c>
      <c r="C20" s="55">
        <v>300</v>
      </c>
      <c r="D20" s="8"/>
      <c r="E20" s="8" t="s">
        <v>249</v>
      </c>
      <c r="F20" s="8">
        <v>8</v>
      </c>
      <c r="G20" s="8" t="s">
        <v>223</v>
      </c>
      <c r="H20" s="2"/>
      <c r="I20" s="2"/>
      <c r="J20" s="2"/>
      <c r="K20" s="2"/>
      <c r="L20" s="2"/>
      <c r="M20" s="2"/>
    </row>
    <row r="21" spans="1:13" ht="18" x14ac:dyDescent="0.25">
      <c r="A21" s="8">
        <v>16</v>
      </c>
      <c r="B21" s="51">
        <v>46082</v>
      </c>
      <c r="C21" s="55">
        <v>300</v>
      </c>
      <c r="E21" s="8" t="s">
        <v>48</v>
      </c>
      <c r="F21" s="8">
        <v>7</v>
      </c>
      <c r="G21" s="8" t="s">
        <v>224</v>
      </c>
      <c r="H21" s="2"/>
      <c r="I21" s="2"/>
      <c r="J21" s="2"/>
      <c r="K21" s="2"/>
      <c r="L21" s="2"/>
      <c r="M21" s="2"/>
    </row>
    <row r="22" spans="1:13" ht="18" x14ac:dyDescent="0.25">
      <c r="A22" s="8">
        <v>17</v>
      </c>
      <c r="B22" s="51">
        <v>46082</v>
      </c>
      <c r="C22" s="55">
        <v>150</v>
      </c>
      <c r="D22" s="8"/>
      <c r="E22" s="8" t="s">
        <v>244</v>
      </c>
      <c r="F22" s="8">
        <v>4</v>
      </c>
      <c r="G22" s="8" t="s">
        <v>224</v>
      </c>
      <c r="H22" s="2"/>
      <c r="I22" s="2"/>
      <c r="J22" s="2"/>
      <c r="K22" s="2"/>
      <c r="L22" s="2"/>
      <c r="M22" s="2"/>
    </row>
    <row r="23" spans="1:13" ht="18" x14ac:dyDescent="0.25">
      <c r="A23" s="8">
        <v>18</v>
      </c>
      <c r="B23" s="51">
        <v>46082</v>
      </c>
      <c r="C23" s="55">
        <v>150</v>
      </c>
      <c r="D23" s="8"/>
      <c r="E23" s="8" t="s">
        <v>141</v>
      </c>
      <c r="F23" s="8">
        <v>3</v>
      </c>
      <c r="G23" s="8" t="s">
        <v>224</v>
      </c>
      <c r="H23" s="2"/>
      <c r="I23" s="2"/>
      <c r="J23" s="2"/>
      <c r="K23" s="2"/>
      <c r="L23" s="2"/>
      <c r="M23" s="2"/>
    </row>
    <row r="24" spans="1:13" ht="18" x14ac:dyDescent="0.25">
      <c r="A24" s="8">
        <v>19</v>
      </c>
      <c r="B24" s="51">
        <v>46082</v>
      </c>
      <c r="C24" s="55">
        <v>75</v>
      </c>
      <c r="E24" s="8" t="s">
        <v>160</v>
      </c>
      <c r="F24" s="8">
        <v>2</v>
      </c>
      <c r="G24" s="8" t="s">
        <v>224</v>
      </c>
      <c r="H24" s="2"/>
      <c r="I24" s="2"/>
      <c r="J24" s="2"/>
      <c r="K24" s="2"/>
      <c r="L24" s="2"/>
      <c r="M24" s="2"/>
    </row>
    <row r="25" spans="1:13" ht="18" x14ac:dyDescent="0.25">
      <c r="A25" s="8">
        <v>20</v>
      </c>
      <c r="B25" s="51">
        <v>46085</v>
      </c>
      <c r="C25" s="55">
        <v>900</v>
      </c>
      <c r="D25" s="8"/>
      <c r="E25" s="8" t="s">
        <v>258</v>
      </c>
      <c r="F25" s="8">
        <v>5</v>
      </c>
      <c r="G25" s="8" t="s">
        <v>259</v>
      </c>
      <c r="H25" s="2"/>
      <c r="I25" s="2"/>
      <c r="J25" s="2"/>
      <c r="K25" s="2"/>
      <c r="L25" s="2"/>
      <c r="M25" s="2"/>
    </row>
    <row r="26" spans="1:13" ht="18" x14ac:dyDescent="0.25">
      <c r="A26" s="8">
        <v>21</v>
      </c>
      <c r="B26" s="51">
        <v>46044</v>
      </c>
      <c r="C26" s="55">
        <v>58</v>
      </c>
      <c r="D26" s="8"/>
      <c r="E26" s="8" t="s">
        <v>260</v>
      </c>
      <c r="F26" s="8"/>
      <c r="G26" s="8" t="s">
        <v>261</v>
      </c>
      <c r="H26" s="2"/>
      <c r="I26" s="2"/>
      <c r="J26" s="2"/>
      <c r="K26" s="2"/>
      <c r="L26" s="2"/>
      <c r="M26" s="2"/>
    </row>
    <row r="27" spans="1:13" ht="18" x14ac:dyDescent="0.25">
      <c r="A27" s="8">
        <v>22</v>
      </c>
      <c r="B27" s="51">
        <v>46075</v>
      </c>
      <c r="C27" s="55">
        <v>58</v>
      </c>
      <c r="D27" s="8"/>
      <c r="E27" s="8" t="s">
        <v>260</v>
      </c>
      <c r="F27" s="8"/>
      <c r="G27" s="8" t="s">
        <v>262</v>
      </c>
      <c r="H27" s="2"/>
      <c r="I27" s="2"/>
      <c r="J27" s="2"/>
      <c r="K27" s="2"/>
      <c r="L27" s="2"/>
      <c r="M27" s="2"/>
    </row>
    <row r="28" spans="1:13" ht="18" x14ac:dyDescent="0.25">
      <c r="A28" s="8">
        <v>23</v>
      </c>
      <c r="B28" s="51">
        <v>46092</v>
      </c>
      <c r="C28" s="55">
        <v>300</v>
      </c>
      <c r="E28" s="8" t="s">
        <v>48</v>
      </c>
      <c r="F28" s="8">
        <v>7</v>
      </c>
      <c r="G28" s="8" t="s">
        <v>225</v>
      </c>
      <c r="H28" s="2"/>
      <c r="I28" s="2"/>
      <c r="J28" s="2"/>
      <c r="K28" s="2"/>
      <c r="L28" s="2"/>
      <c r="M28" s="2"/>
    </row>
    <row r="29" spans="1:13" ht="18" x14ac:dyDescent="0.25">
      <c r="A29" s="8">
        <v>24</v>
      </c>
      <c r="B29" s="51">
        <v>46092</v>
      </c>
      <c r="C29" s="55">
        <v>150</v>
      </c>
      <c r="D29" s="8"/>
      <c r="E29" s="8" t="s">
        <v>244</v>
      </c>
      <c r="F29" s="8">
        <v>4</v>
      </c>
      <c r="G29" s="8" t="s">
        <v>225</v>
      </c>
      <c r="H29" s="2"/>
      <c r="I29" s="2"/>
      <c r="J29" s="2"/>
      <c r="K29" s="2"/>
      <c r="L29" s="2"/>
      <c r="M29" s="2"/>
    </row>
    <row r="30" spans="1:13" ht="18" x14ac:dyDescent="0.25">
      <c r="A30" s="8">
        <v>25</v>
      </c>
      <c r="B30" s="51">
        <v>46092</v>
      </c>
      <c r="C30" s="55">
        <v>150</v>
      </c>
      <c r="D30" s="8"/>
      <c r="E30" s="8" t="s">
        <v>141</v>
      </c>
      <c r="F30" s="8">
        <v>3</v>
      </c>
      <c r="G30" s="8" t="s">
        <v>225</v>
      </c>
      <c r="H30" s="2"/>
      <c r="I30" s="2"/>
      <c r="J30" s="2"/>
      <c r="K30" s="2"/>
      <c r="L30" s="2"/>
      <c r="M30" s="2"/>
    </row>
    <row r="31" spans="1:13" ht="18" x14ac:dyDescent="0.25">
      <c r="A31" s="8">
        <v>26</v>
      </c>
      <c r="B31" s="51">
        <v>46092</v>
      </c>
      <c r="C31" s="55">
        <v>450</v>
      </c>
      <c r="E31" s="8" t="s">
        <v>187</v>
      </c>
      <c r="F31" s="8">
        <v>11</v>
      </c>
      <c r="G31" s="8" t="s">
        <v>259</v>
      </c>
      <c r="H31" s="2"/>
      <c r="I31" s="2"/>
      <c r="J31" s="2"/>
      <c r="K31" s="2"/>
      <c r="L31" s="2"/>
      <c r="M31" s="2"/>
    </row>
    <row r="32" spans="1:13" ht="18" x14ac:dyDescent="0.25">
      <c r="A32" s="8">
        <v>27</v>
      </c>
      <c r="B32" s="51">
        <v>46092</v>
      </c>
      <c r="C32" s="55">
        <v>450</v>
      </c>
      <c r="E32" s="8" t="s">
        <v>184</v>
      </c>
      <c r="F32" s="8">
        <v>9</v>
      </c>
      <c r="G32" s="8" t="s">
        <v>259</v>
      </c>
      <c r="H32" s="2"/>
      <c r="I32" s="2"/>
      <c r="J32" s="2"/>
      <c r="K32" s="2"/>
      <c r="L32" s="2"/>
      <c r="M32" s="2"/>
    </row>
    <row r="33" spans="1:13" ht="18" x14ac:dyDescent="0.25">
      <c r="A33" s="8">
        <v>28</v>
      </c>
      <c r="B33" s="51">
        <v>46093</v>
      </c>
      <c r="C33" s="55">
        <v>300</v>
      </c>
      <c r="D33" s="8"/>
      <c r="E33" s="8" t="s">
        <v>249</v>
      </c>
      <c r="F33" s="8">
        <v>8</v>
      </c>
      <c r="G33" s="8" t="s">
        <v>224</v>
      </c>
      <c r="H33" s="2"/>
      <c r="I33" s="2"/>
      <c r="J33" s="2"/>
      <c r="K33" s="2"/>
      <c r="L33" s="2"/>
      <c r="M33" s="2"/>
    </row>
    <row r="34" spans="1:13" ht="18" x14ac:dyDescent="0.25">
      <c r="A34" s="8">
        <v>29</v>
      </c>
      <c r="B34" s="51">
        <v>46097</v>
      </c>
      <c r="C34" s="55">
        <v>750</v>
      </c>
      <c r="D34" s="8"/>
      <c r="E34" s="8" t="s">
        <v>266</v>
      </c>
      <c r="F34" s="8" t="s">
        <v>267</v>
      </c>
      <c r="G34" s="8" t="s">
        <v>259</v>
      </c>
      <c r="H34" s="2"/>
      <c r="I34" s="2"/>
      <c r="J34" s="2"/>
      <c r="K34" s="2"/>
      <c r="L34" s="2"/>
      <c r="M34" s="2"/>
    </row>
    <row r="35" spans="1:13" ht="18" x14ac:dyDescent="0.25">
      <c r="A35" s="8">
        <v>30</v>
      </c>
      <c r="B35" s="51">
        <v>46116</v>
      </c>
      <c r="C35" s="55">
        <v>75</v>
      </c>
      <c r="E35" s="8" t="s">
        <v>160</v>
      </c>
      <c r="F35" s="8">
        <v>2</v>
      </c>
      <c r="G35" s="8" t="s">
        <v>225</v>
      </c>
    </row>
    <row r="36" spans="1:13" ht="18" x14ac:dyDescent="0.25">
      <c r="A36" s="8">
        <v>31</v>
      </c>
      <c r="B36" s="51">
        <v>46115</v>
      </c>
      <c r="C36" s="55">
        <v>150</v>
      </c>
      <c r="D36" s="8"/>
      <c r="E36" s="8" t="s">
        <v>186</v>
      </c>
      <c r="F36" s="8">
        <v>1</v>
      </c>
      <c r="G36" s="8" t="s">
        <v>224</v>
      </c>
    </row>
    <row r="37" spans="1:13" ht="18" x14ac:dyDescent="0.25">
      <c r="A37" s="8">
        <v>32</v>
      </c>
      <c r="B37" s="51">
        <v>46103</v>
      </c>
      <c r="C37" s="55">
        <v>58</v>
      </c>
      <c r="D37" s="8"/>
      <c r="E37" s="8" t="s">
        <v>260</v>
      </c>
      <c r="F37" s="8"/>
      <c r="G37" s="8" t="s">
        <v>270</v>
      </c>
    </row>
    <row r="38" spans="1:13" ht="18" x14ac:dyDescent="0.25">
      <c r="A38" s="8">
        <v>33</v>
      </c>
      <c r="B38" s="51">
        <v>46117</v>
      </c>
      <c r="C38" s="55">
        <v>246</v>
      </c>
      <c r="E38" s="8" t="s">
        <v>260</v>
      </c>
      <c r="F38" s="8"/>
      <c r="G38" s="8" t="s">
        <v>269</v>
      </c>
    </row>
    <row r="39" spans="1:13" ht="18" x14ac:dyDescent="0.25">
      <c r="A39" s="8">
        <v>34</v>
      </c>
      <c r="B39" s="51">
        <v>46115</v>
      </c>
      <c r="C39" s="55">
        <v>250</v>
      </c>
      <c r="E39" s="8" t="s">
        <v>142</v>
      </c>
      <c r="F39" s="8">
        <v>12</v>
      </c>
      <c r="G39" s="8" t="s">
        <v>224</v>
      </c>
    </row>
    <row r="40" spans="1:13" ht="18" x14ac:dyDescent="0.25">
      <c r="A40" s="8">
        <v>35</v>
      </c>
      <c r="B40" s="51">
        <v>46142</v>
      </c>
      <c r="C40" s="55">
        <v>300</v>
      </c>
      <c r="E40" s="8" t="s">
        <v>48</v>
      </c>
      <c r="F40" s="8">
        <v>7</v>
      </c>
      <c r="G40" s="8" t="s">
        <v>226</v>
      </c>
    </row>
    <row r="41" spans="1:13" ht="18" x14ac:dyDescent="0.25">
      <c r="A41" s="8">
        <v>36</v>
      </c>
      <c r="B41" s="51">
        <v>46142</v>
      </c>
      <c r="C41" s="55">
        <v>150</v>
      </c>
      <c r="D41" s="8"/>
      <c r="E41" s="8" t="s">
        <v>244</v>
      </c>
      <c r="F41" s="8">
        <v>4</v>
      </c>
      <c r="G41" s="8" t="s">
        <v>226</v>
      </c>
      <c r="H41" s="2"/>
    </row>
    <row r="42" spans="1:13" ht="18" x14ac:dyDescent="0.25">
      <c r="A42" s="8">
        <v>37</v>
      </c>
      <c r="B42" s="51">
        <v>46142</v>
      </c>
      <c r="C42" s="55">
        <v>150</v>
      </c>
      <c r="D42" s="8"/>
      <c r="E42" s="8" t="s">
        <v>141</v>
      </c>
      <c r="F42" s="8">
        <v>3</v>
      </c>
      <c r="G42" s="8" t="s">
        <v>226</v>
      </c>
      <c r="H42" s="2"/>
      <c r="I42" s="2"/>
      <c r="J42" s="2"/>
    </row>
    <row r="43" spans="1:13" ht="18" x14ac:dyDescent="0.25">
      <c r="A43" s="8">
        <v>38</v>
      </c>
      <c r="B43" s="51">
        <v>46134</v>
      </c>
      <c r="C43" s="55">
        <v>58</v>
      </c>
      <c r="D43" s="8"/>
      <c r="E43" s="8" t="s">
        <v>260</v>
      </c>
      <c r="F43" s="8"/>
      <c r="G43" s="8" t="s">
        <v>279</v>
      </c>
      <c r="H43" s="2"/>
      <c r="I43" s="2"/>
      <c r="J43" s="2"/>
    </row>
    <row r="44" spans="1:13" ht="18" x14ac:dyDescent="0.25">
      <c r="A44" s="8">
        <v>39</v>
      </c>
      <c r="B44" s="51">
        <v>46144</v>
      </c>
      <c r="C44" s="55">
        <v>75</v>
      </c>
      <c r="E44" s="8" t="s">
        <v>160</v>
      </c>
      <c r="F44" s="8">
        <v>2</v>
      </c>
      <c r="G44" s="8" t="s">
        <v>226</v>
      </c>
      <c r="H44" s="2"/>
      <c r="I44" s="2"/>
      <c r="J44" s="2"/>
    </row>
    <row r="45" spans="1:13" ht="18" x14ac:dyDescent="0.25">
      <c r="A45" s="8">
        <v>40</v>
      </c>
      <c r="B45" s="51">
        <v>46149</v>
      </c>
      <c r="C45" s="55">
        <v>600</v>
      </c>
      <c r="D45" s="8"/>
      <c r="E45" s="8" t="s">
        <v>258</v>
      </c>
      <c r="F45" s="8">
        <v>5</v>
      </c>
      <c r="G45" s="8" t="s">
        <v>280</v>
      </c>
      <c r="H45" s="2"/>
      <c r="I45" s="2"/>
      <c r="J45" s="2"/>
    </row>
    <row r="46" spans="1:13" ht="18" x14ac:dyDescent="0.25">
      <c r="A46" s="8">
        <v>41</v>
      </c>
      <c r="B46" s="51">
        <v>46152</v>
      </c>
      <c r="C46" s="55">
        <v>500</v>
      </c>
      <c r="E46" s="8" t="s">
        <v>142</v>
      </c>
      <c r="F46" s="8">
        <v>12</v>
      </c>
      <c r="G46" s="8" t="s">
        <v>281</v>
      </c>
    </row>
    <row r="47" spans="1:13" ht="18" x14ac:dyDescent="0.25">
      <c r="A47" s="8">
        <v>42</v>
      </c>
      <c r="B47" s="51">
        <v>46158</v>
      </c>
      <c r="C47" s="55">
        <v>600</v>
      </c>
      <c r="E47" s="8" t="s">
        <v>249</v>
      </c>
      <c r="F47" s="8">
        <v>8</v>
      </c>
      <c r="G47" s="8" t="s">
        <v>285</v>
      </c>
    </row>
    <row r="48" spans="1:13" ht="18" x14ac:dyDescent="0.25">
      <c r="A48" s="8">
        <v>43</v>
      </c>
      <c r="B48" s="51">
        <v>46158</v>
      </c>
      <c r="C48" s="55">
        <v>450</v>
      </c>
      <c r="D48" s="8"/>
      <c r="E48" s="8" t="s">
        <v>184</v>
      </c>
      <c r="F48" s="8">
        <v>9</v>
      </c>
      <c r="G48" s="8" t="s">
        <v>286</v>
      </c>
    </row>
    <row r="49" spans="1:11" ht="18" x14ac:dyDescent="0.25">
      <c r="A49" s="8">
        <v>44</v>
      </c>
      <c r="B49" s="51">
        <v>46159</v>
      </c>
      <c r="C49" s="55">
        <v>600</v>
      </c>
      <c r="D49" s="8"/>
      <c r="E49" s="8" t="s">
        <v>266</v>
      </c>
      <c r="F49" s="8" t="s">
        <v>267</v>
      </c>
      <c r="G49" s="8" t="s">
        <v>280</v>
      </c>
    </row>
    <row r="50" spans="1:11" ht="18" x14ac:dyDescent="0.25">
      <c r="A50" s="8">
        <v>45</v>
      </c>
      <c r="B50" s="51">
        <v>46168</v>
      </c>
      <c r="C50" s="55">
        <v>300</v>
      </c>
      <c r="D50" s="8"/>
      <c r="E50" s="8" t="s">
        <v>186</v>
      </c>
      <c r="F50" s="8">
        <v>1</v>
      </c>
      <c r="G50" s="8" t="s">
        <v>285</v>
      </c>
    </row>
    <row r="51" spans="1:11" ht="18" x14ac:dyDescent="0.25">
      <c r="A51" s="8">
        <v>46</v>
      </c>
      <c r="B51" s="51">
        <v>46179</v>
      </c>
      <c r="C51" s="55">
        <v>300</v>
      </c>
      <c r="E51" s="8" t="s">
        <v>48</v>
      </c>
      <c r="F51" s="8">
        <v>7</v>
      </c>
      <c r="G51" s="8" t="s">
        <v>288</v>
      </c>
      <c r="H51" s="2"/>
    </row>
    <row r="52" spans="1:11" ht="18" x14ac:dyDescent="0.25">
      <c r="A52" s="8">
        <v>47</v>
      </c>
      <c r="B52" s="51">
        <v>46179</v>
      </c>
      <c r="C52" s="55">
        <v>150</v>
      </c>
      <c r="D52" s="8"/>
      <c r="E52" s="8" t="s">
        <v>244</v>
      </c>
      <c r="F52" s="8">
        <v>4</v>
      </c>
      <c r="G52" s="8" t="s">
        <v>288</v>
      </c>
    </row>
    <row r="53" spans="1:11" ht="18" x14ac:dyDescent="0.25">
      <c r="A53" s="8">
        <v>48</v>
      </c>
      <c r="B53" s="51">
        <v>46179</v>
      </c>
      <c r="C53" s="55">
        <v>150</v>
      </c>
      <c r="D53" s="8"/>
      <c r="E53" s="8" t="s">
        <v>141</v>
      </c>
      <c r="F53" s="8">
        <v>3</v>
      </c>
      <c r="G53" s="8" t="s">
        <v>288</v>
      </c>
    </row>
    <row r="54" spans="1:11" ht="18" x14ac:dyDescent="0.25">
      <c r="A54" s="8">
        <v>49</v>
      </c>
      <c r="B54" s="51">
        <v>46176</v>
      </c>
      <c r="C54" s="55">
        <v>150</v>
      </c>
      <c r="E54" s="8" t="s">
        <v>160</v>
      </c>
      <c r="F54" s="8">
        <v>2</v>
      </c>
      <c r="G54" s="8" t="s">
        <v>290</v>
      </c>
    </row>
    <row r="55" spans="1:11" ht="18" x14ac:dyDescent="0.25">
      <c r="A55" s="8">
        <v>50</v>
      </c>
      <c r="B55" s="51">
        <v>46164</v>
      </c>
      <c r="C55" s="55">
        <v>58</v>
      </c>
      <c r="D55" s="8"/>
      <c r="E55" s="8" t="s">
        <v>260</v>
      </c>
      <c r="F55" s="8"/>
      <c r="G55" s="8" t="s">
        <v>289</v>
      </c>
    </row>
    <row r="56" spans="1:11" ht="18" x14ac:dyDescent="0.25">
      <c r="A56" s="8">
        <v>51</v>
      </c>
      <c r="B56" s="51">
        <v>46185</v>
      </c>
      <c r="C56" s="55">
        <v>250</v>
      </c>
      <c r="D56" s="8"/>
      <c r="E56" s="8" t="s">
        <v>142</v>
      </c>
      <c r="F56" s="8">
        <v>12</v>
      </c>
      <c r="G56" s="8" t="s">
        <v>288</v>
      </c>
    </row>
    <row r="57" spans="1:11" ht="18" x14ac:dyDescent="0.25">
      <c r="A57" s="8">
        <v>52</v>
      </c>
      <c r="B57" s="51">
        <v>46190</v>
      </c>
      <c r="C57" s="55">
        <v>300</v>
      </c>
      <c r="D57" s="8"/>
      <c r="E57" s="8" t="s">
        <v>249</v>
      </c>
      <c r="F57" s="8">
        <v>8</v>
      </c>
      <c r="G57" s="8" t="s">
        <v>288</v>
      </c>
      <c r="H57" s="2"/>
      <c r="I57" s="2"/>
      <c r="J57" s="2"/>
      <c r="K57" s="2"/>
    </row>
    <row r="58" spans="1:11" ht="18" x14ac:dyDescent="0.25">
      <c r="A58" s="8">
        <v>53</v>
      </c>
      <c r="B58" s="51">
        <v>46195</v>
      </c>
      <c r="C58" s="55">
        <v>58</v>
      </c>
      <c r="D58" s="8"/>
      <c r="E58" s="8" t="s">
        <v>260</v>
      </c>
      <c r="F58" s="8"/>
      <c r="G58" s="8" t="s">
        <v>294</v>
      </c>
    </row>
    <row r="59" spans="1:11" ht="18" x14ac:dyDescent="0.25">
      <c r="A59" s="8">
        <v>54</v>
      </c>
      <c r="B59" s="51">
        <v>46204</v>
      </c>
      <c r="C59" s="55">
        <v>300</v>
      </c>
      <c r="E59" s="8" t="s">
        <v>48</v>
      </c>
      <c r="F59" s="8">
        <v>7</v>
      </c>
      <c r="G59" s="8" t="s">
        <v>295</v>
      </c>
    </row>
    <row r="60" spans="1:11" ht="18" x14ac:dyDescent="0.25">
      <c r="A60" s="8">
        <v>55</v>
      </c>
      <c r="B60" s="51">
        <v>46204</v>
      </c>
      <c r="C60" s="55">
        <v>150</v>
      </c>
      <c r="D60" s="8"/>
      <c r="E60" s="8" t="s">
        <v>244</v>
      </c>
      <c r="F60" s="8">
        <v>4</v>
      </c>
      <c r="G60" s="8" t="s">
        <v>295</v>
      </c>
    </row>
    <row r="61" spans="1:11" ht="18" x14ac:dyDescent="0.25">
      <c r="A61" s="8">
        <v>56</v>
      </c>
      <c r="B61" s="51">
        <v>46204</v>
      </c>
      <c r="C61" s="55">
        <v>150</v>
      </c>
      <c r="D61" s="8"/>
      <c r="E61" s="8" t="s">
        <v>141</v>
      </c>
      <c r="F61" s="8">
        <v>3</v>
      </c>
      <c r="G61" s="8" t="s">
        <v>295</v>
      </c>
    </row>
    <row r="62" spans="1:11" ht="18" x14ac:dyDescent="0.25">
      <c r="A62" s="8">
        <v>57</v>
      </c>
      <c r="B62" s="51">
        <v>46204</v>
      </c>
      <c r="C62" s="55">
        <v>150</v>
      </c>
      <c r="E62" s="8" t="s">
        <v>160</v>
      </c>
      <c r="F62" s="8">
        <v>2</v>
      </c>
      <c r="G62" s="8" t="s">
        <v>296</v>
      </c>
    </row>
    <row r="63" spans="1:11" ht="18" x14ac:dyDescent="0.25">
      <c r="A63" s="8">
        <v>58</v>
      </c>
      <c r="B63" s="51">
        <v>46216</v>
      </c>
      <c r="C63" s="55">
        <v>250</v>
      </c>
      <c r="D63" s="8"/>
      <c r="E63" s="8" t="s">
        <v>142</v>
      </c>
      <c r="F63" s="8">
        <v>12</v>
      </c>
      <c r="G63" s="8" t="s">
        <v>295</v>
      </c>
    </row>
    <row r="64" spans="1:11" ht="18" x14ac:dyDescent="0.25">
      <c r="A64" s="8">
        <v>59</v>
      </c>
      <c r="B64" s="51">
        <v>46225</v>
      </c>
      <c r="C64" s="55">
        <v>600</v>
      </c>
      <c r="E64" s="8" t="s">
        <v>187</v>
      </c>
      <c r="F64" s="8">
        <v>11</v>
      </c>
      <c r="G64" s="8" t="s">
        <v>300</v>
      </c>
    </row>
    <row r="65" spans="1:7" ht="18" x14ac:dyDescent="0.25">
      <c r="A65" s="8">
        <v>60</v>
      </c>
      <c r="B65" s="51">
        <v>46228</v>
      </c>
      <c r="C65" s="55">
        <v>58</v>
      </c>
      <c r="D65" s="8"/>
      <c r="E65" s="8" t="s">
        <v>260</v>
      </c>
      <c r="F65" s="8"/>
      <c r="G65" s="8" t="s">
        <v>301</v>
      </c>
    </row>
    <row r="66" spans="1:7" ht="18" x14ac:dyDescent="0.25">
      <c r="A66" s="8">
        <v>61</v>
      </c>
      <c r="B66" s="51">
        <v>46228</v>
      </c>
      <c r="C66" s="55">
        <v>240</v>
      </c>
      <c r="E66" s="8" t="s">
        <v>260</v>
      </c>
      <c r="F66" s="8"/>
      <c r="G66" s="8" t="s">
        <v>302</v>
      </c>
    </row>
    <row r="67" spans="1:7" ht="18" x14ac:dyDescent="0.25">
      <c r="A67" s="8">
        <v>62</v>
      </c>
      <c r="B67" s="51">
        <v>46232</v>
      </c>
      <c r="C67" s="55">
        <v>300</v>
      </c>
      <c r="D67" s="8"/>
      <c r="E67" s="8" t="s">
        <v>186</v>
      </c>
      <c r="F67" s="8">
        <v>1</v>
      </c>
      <c r="G67" s="8" t="s">
        <v>304</v>
      </c>
    </row>
    <row r="68" spans="1:7" ht="18" x14ac:dyDescent="0.25">
      <c r="A68" s="8">
        <v>63</v>
      </c>
      <c r="B68" s="51">
        <v>46235</v>
      </c>
      <c r="C68" s="55">
        <v>300</v>
      </c>
      <c r="E68" s="8" t="s">
        <v>48</v>
      </c>
      <c r="F68" s="8">
        <v>7</v>
      </c>
      <c r="G68" s="8" t="s">
        <v>305</v>
      </c>
    </row>
    <row r="69" spans="1:7" ht="18" x14ac:dyDescent="0.25">
      <c r="A69" s="8">
        <v>64</v>
      </c>
      <c r="B69" s="51">
        <v>46235</v>
      </c>
      <c r="C69" s="55">
        <v>150</v>
      </c>
      <c r="D69" s="8"/>
      <c r="E69" s="8" t="s">
        <v>244</v>
      </c>
      <c r="F69" s="8">
        <v>4</v>
      </c>
      <c r="G69" s="8" t="s">
        <v>305</v>
      </c>
    </row>
    <row r="70" spans="1:7" ht="18" x14ac:dyDescent="0.25">
      <c r="A70" s="8">
        <v>65</v>
      </c>
      <c r="B70" s="51">
        <v>46235</v>
      </c>
      <c r="C70" s="55">
        <v>150</v>
      </c>
      <c r="D70" s="8"/>
      <c r="E70" s="8" t="s">
        <v>141</v>
      </c>
      <c r="F70" s="8">
        <v>3</v>
      </c>
      <c r="G70" s="8" t="s">
        <v>305</v>
      </c>
    </row>
    <row r="71" spans="1:7" ht="18" x14ac:dyDescent="0.25">
      <c r="A71" s="8">
        <v>66</v>
      </c>
      <c r="B71" s="51">
        <v>46252</v>
      </c>
      <c r="C71" s="55">
        <v>250</v>
      </c>
      <c r="D71" s="8"/>
      <c r="E71" s="8" t="s">
        <v>142</v>
      </c>
      <c r="F71" s="8">
        <v>12</v>
      </c>
      <c r="G71" s="8" t="s">
        <v>232</v>
      </c>
    </row>
    <row r="72" spans="1:7" ht="18" x14ac:dyDescent="0.25">
      <c r="A72" s="8">
        <v>68</v>
      </c>
      <c r="B72" s="51">
        <v>46256</v>
      </c>
      <c r="C72" s="55">
        <v>58</v>
      </c>
      <c r="D72" s="8"/>
      <c r="E72" s="8" t="s">
        <v>260</v>
      </c>
      <c r="F72" s="8"/>
      <c r="G72" s="8" t="s">
        <v>306</v>
      </c>
    </row>
    <row r="73" spans="1:7" ht="18" x14ac:dyDescent="0.25">
      <c r="A73" s="8">
        <v>69</v>
      </c>
      <c r="B73" s="51">
        <v>46237</v>
      </c>
      <c r="C73" s="55">
        <v>150</v>
      </c>
      <c r="E73" s="8" t="s">
        <v>160</v>
      </c>
      <c r="F73" s="8">
        <v>2</v>
      </c>
      <c r="G73" s="8" t="s">
        <v>307</v>
      </c>
    </row>
    <row r="74" spans="1:7" ht="18" x14ac:dyDescent="0.25">
      <c r="A74" s="8">
        <v>70</v>
      </c>
      <c r="B74" s="51">
        <v>46261</v>
      </c>
      <c r="C74" s="55">
        <v>450</v>
      </c>
      <c r="D74" s="8"/>
      <c r="E74" s="8" t="s">
        <v>184</v>
      </c>
      <c r="F74" s="8">
        <v>9</v>
      </c>
      <c r="G74" s="8" t="s">
        <v>309</v>
      </c>
    </row>
    <row r="75" spans="1:7" ht="18" x14ac:dyDescent="0.25">
      <c r="A75" s="8">
        <v>71</v>
      </c>
      <c r="B75" s="51">
        <v>46266</v>
      </c>
      <c r="C75" s="55">
        <v>300</v>
      </c>
      <c r="E75" s="8" t="s">
        <v>48</v>
      </c>
      <c r="F75" s="8">
        <v>7</v>
      </c>
      <c r="G75" s="8" t="s">
        <v>233</v>
      </c>
    </row>
    <row r="76" spans="1:7" ht="18" x14ac:dyDescent="0.25">
      <c r="A76" s="8">
        <v>72</v>
      </c>
      <c r="B76" s="51">
        <v>46266</v>
      </c>
      <c r="C76" s="55">
        <v>150</v>
      </c>
      <c r="D76" s="8"/>
      <c r="E76" s="8" t="s">
        <v>244</v>
      </c>
      <c r="F76" s="8">
        <v>4</v>
      </c>
      <c r="G76" s="8" t="s">
        <v>233</v>
      </c>
    </row>
    <row r="77" spans="1:7" ht="18" x14ac:dyDescent="0.25">
      <c r="A77" s="8">
        <v>73</v>
      </c>
      <c r="B77" s="51">
        <v>46266</v>
      </c>
      <c r="C77" s="55">
        <v>150</v>
      </c>
      <c r="D77" s="8"/>
      <c r="E77" s="8" t="s">
        <v>141</v>
      </c>
      <c r="F77" s="8">
        <v>3</v>
      </c>
      <c r="G77" s="8" t="s">
        <v>233</v>
      </c>
    </row>
    <row r="78" spans="1:7" ht="18" x14ac:dyDescent="0.25">
      <c r="A78" s="8">
        <v>74</v>
      </c>
      <c r="B78" s="51">
        <v>46268</v>
      </c>
      <c r="C78" s="55">
        <v>600</v>
      </c>
      <c r="E78" s="8" t="s">
        <v>160</v>
      </c>
      <c r="F78" s="8">
        <v>2</v>
      </c>
      <c r="G78" s="8" t="s">
        <v>312</v>
      </c>
    </row>
    <row r="79" spans="1:7" ht="18" x14ac:dyDescent="0.25">
      <c r="A79" s="8">
        <v>75</v>
      </c>
      <c r="B79" s="51">
        <v>46270</v>
      </c>
      <c r="C79" s="55">
        <v>600</v>
      </c>
      <c r="D79" s="8"/>
      <c r="E79" s="8" t="s">
        <v>249</v>
      </c>
      <c r="F79" s="8">
        <v>8</v>
      </c>
      <c r="G79" s="8" t="s">
        <v>313</v>
      </c>
    </row>
    <row r="80" spans="1:7" ht="18" x14ac:dyDescent="0.25">
      <c r="A80" s="8">
        <v>76</v>
      </c>
      <c r="B80" s="51">
        <v>46289</v>
      </c>
      <c r="C80" s="55">
        <v>300</v>
      </c>
      <c r="D80" s="8"/>
      <c r="E80" s="8" t="s">
        <v>249</v>
      </c>
      <c r="F80" s="8">
        <v>8</v>
      </c>
      <c r="G80" s="8" t="s">
        <v>233</v>
      </c>
    </row>
    <row r="81" spans="1:7" ht="18" x14ac:dyDescent="0.25">
      <c r="A81" s="8">
        <v>77</v>
      </c>
      <c r="B81" s="51">
        <v>46287</v>
      </c>
      <c r="C81" s="55">
        <v>58</v>
      </c>
      <c r="D81" s="8"/>
      <c r="E81" s="8" t="s">
        <v>260</v>
      </c>
      <c r="F81" s="8"/>
      <c r="G81" s="8" t="s">
        <v>318</v>
      </c>
    </row>
    <row r="82" spans="1:7" ht="18" x14ac:dyDescent="0.25">
      <c r="A82" s="8">
        <v>78</v>
      </c>
      <c r="B82" s="51">
        <v>46317</v>
      </c>
      <c r="C82" s="55">
        <v>58</v>
      </c>
      <c r="D82" s="8"/>
      <c r="E82" s="8" t="s">
        <v>260</v>
      </c>
      <c r="F82" s="8"/>
      <c r="G82" s="8" t="s">
        <v>319</v>
      </c>
    </row>
    <row r="83" spans="1:7" ht="18" x14ac:dyDescent="0.25">
      <c r="A83" s="8">
        <v>79</v>
      </c>
      <c r="B83" s="51">
        <v>46317</v>
      </c>
      <c r="C83" s="55">
        <v>240</v>
      </c>
      <c r="E83" s="8" t="s">
        <v>260</v>
      </c>
      <c r="F83" s="8"/>
      <c r="G83" s="8" t="s">
        <v>320</v>
      </c>
    </row>
    <row r="84" spans="1:7" ht="18" x14ac:dyDescent="0.25">
      <c r="A84" s="8">
        <v>80</v>
      </c>
      <c r="B84" s="51">
        <v>46317</v>
      </c>
      <c r="C84" s="55">
        <v>300</v>
      </c>
      <c r="E84" s="8" t="s">
        <v>48</v>
      </c>
      <c r="F84" s="8">
        <v>7</v>
      </c>
      <c r="G84" s="8" t="s">
        <v>234</v>
      </c>
    </row>
    <row r="85" spans="1:7" ht="18" x14ac:dyDescent="0.25">
      <c r="A85" s="8">
        <v>81</v>
      </c>
      <c r="B85" s="51">
        <v>46317</v>
      </c>
      <c r="C85" s="55">
        <v>150</v>
      </c>
      <c r="D85" s="8"/>
      <c r="E85" s="8" t="s">
        <v>244</v>
      </c>
      <c r="F85" s="8">
        <v>4</v>
      </c>
      <c r="G85" s="8" t="s">
        <v>234</v>
      </c>
    </row>
    <row r="86" spans="1:7" ht="18" x14ac:dyDescent="0.25">
      <c r="A86" s="8">
        <v>82</v>
      </c>
      <c r="B86" s="51">
        <v>46317</v>
      </c>
      <c r="C86" s="55">
        <v>150</v>
      </c>
      <c r="D86" s="8"/>
      <c r="E86" s="8" t="s">
        <v>141</v>
      </c>
      <c r="F86" s="8">
        <v>3</v>
      </c>
      <c r="G86" s="8" t="s">
        <v>234</v>
      </c>
    </row>
    <row r="87" spans="1:7" ht="18" x14ac:dyDescent="0.25">
      <c r="A87" s="8">
        <v>83</v>
      </c>
      <c r="B87" s="51"/>
      <c r="G87" s="8"/>
    </row>
    <row r="88" spans="1:7" ht="18" x14ac:dyDescent="0.25">
      <c r="A88" s="8">
        <v>84</v>
      </c>
      <c r="B88" s="51"/>
      <c r="G88" s="8"/>
    </row>
    <row r="89" spans="1:7" ht="18" x14ac:dyDescent="0.25">
      <c r="A89" s="8">
        <v>85</v>
      </c>
      <c r="B89" s="51"/>
      <c r="G89" s="8"/>
    </row>
    <row r="90" spans="1:7" ht="18" x14ac:dyDescent="0.25">
      <c r="A90" s="8">
        <v>86</v>
      </c>
      <c r="B90" s="51"/>
      <c r="G90" s="8"/>
    </row>
    <row r="91" spans="1:7" ht="18" x14ac:dyDescent="0.25">
      <c r="A91" s="8">
        <v>87</v>
      </c>
      <c r="B91" s="51"/>
      <c r="G91" s="8"/>
    </row>
    <row r="92" spans="1:7" ht="18" x14ac:dyDescent="0.25">
      <c r="A92" s="8">
        <v>88</v>
      </c>
      <c r="B92" s="51"/>
      <c r="G92" s="8"/>
    </row>
    <row r="93" spans="1:7" ht="18" x14ac:dyDescent="0.25">
      <c r="A93" s="8">
        <v>89</v>
      </c>
      <c r="B93" s="51"/>
      <c r="G93" s="8"/>
    </row>
    <row r="94" spans="1:7" ht="18" x14ac:dyDescent="0.25">
      <c r="A94" s="8">
        <v>90</v>
      </c>
      <c r="B94" s="51"/>
      <c r="G94" s="8"/>
    </row>
    <row r="95" spans="1:7" ht="18" x14ac:dyDescent="0.25">
      <c r="B95" s="51"/>
      <c r="G95" s="8"/>
    </row>
    <row r="96" spans="1:7" ht="18" x14ac:dyDescent="0.25">
      <c r="B96" s="51"/>
      <c r="G96" s="8"/>
    </row>
    <row r="97" spans="2:7" ht="18" x14ac:dyDescent="0.25">
      <c r="B97" s="51"/>
      <c r="G97" s="8"/>
    </row>
    <row r="98" spans="2:7" ht="18" x14ac:dyDescent="0.25">
      <c r="G98" s="8"/>
    </row>
    <row r="99" spans="2:7" ht="18" x14ac:dyDescent="0.25">
      <c r="G99" s="8"/>
    </row>
    <row r="100" spans="2:7" ht="18" x14ac:dyDescent="0.25">
      <c r="G100" s="8"/>
    </row>
    <row r="101" spans="2:7" ht="18" x14ac:dyDescent="0.25">
      <c r="G101" s="8"/>
    </row>
    <row r="102" spans="2:7" ht="18" x14ac:dyDescent="0.25">
      <c r="G102" s="8"/>
    </row>
    <row r="103" spans="2:7" ht="18" x14ac:dyDescent="0.25">
      <c r="G103" s="8"/>
    </row>
    <row r="104" spans="2:7" ht="18" x14ac:dyDescent="0.25">
      <c r="G104" s="8"/>
    </row>
    <row r="105" spans="2:7" ht="18" x14ac:dyDescent="0.25">
      <c r="G105" s="8"/>
    </row>
  </sheetData>
  <pageMargins left="0.7" right="0.7" top="0.75" bottom="0.75" header="0.3" footer="0.3"/>
  <pageSetup paperSize="9" orientation="landscape" horizontalDpi="0" verticalDpi="0"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N33"/>
  <sheetViews>
    <sheetView rightToLeft="1" workbookViewId="0">
      <selection activeCell="E11" sqref="E11"/>
    </sheetView>
  </sheetViews>
  <sheetFormatPr defaultRowHeight="14.25" x14ac:dyDescent="0.2"/>
  <cols>
    <col min="1" max="1" width="4.375" style="3" customWidth="1"/>
    <col min="2" max="2" width="15.625" style="7" bestFit="1" customWidth="1"/>
    <col min="3" max="3" width="9.25" style="68" bestFit="1" customWidth="1"/>
    <col min="4" max="4" width="9.75" style="68" customWidth="1"/>
    <col min="5" max="5" width="9.125" style="69"/>
  </cols>
  <sheetData>
    <row r="2" spans="1:14" ht="26.25" x14ac:dyDescent="0.4">
      <c r="B2" s="99" t="s">
        <v>13</v>
      </c>
      <c r="C2" s="99"/>
      <c r="D2" s="99"/>
      <c r="E2" s="99"/>
      <c r="F2" s="99"/>
      <c r="G2" s="99"/>
      <c r="H2" s="99"/>
      <c r="I2" s="99"/>
      <c r="J2" s="99"/>
      <c r="K2" s="99"/>
      <c r="L2" s="99"/>
      <c r="M2" s="99"/>
      <c r="N2" s="99"/>
    </row>
    <row r="3" spans="1:14" ht="18" x14ac:dyDescent="0.25">
      <c r="B3" s="45" t="s">
        <v>241</v>
      </c>
      <c r="C3" s="67">
        <v>13902</v>
      </c>
    </row>
    <row r="4" spans="1:14" ht="54" x14ac:dyDescent="0.2">
      <c r="A4" s="12" t="s">
        <v>7</v>
      </c>
      <c r="B4" s="13"/>
      <c r="C4" s="14" t="s">
        <v>8</v>
      </c>
      <c r="D4" s="15" t="s">
        <v>14</v>
      </c>
      <c r="E4" s="17" t="s">
        <v>15</v>
      </c>
      <c r="F4" s="16"/>
      <c r="G4" s="16"/>
      <c r="H4" s="16"/>
      <c r="I4" s="16"/>
      <c r="J4" s="16"/>
    </row>
    <row r="5" spans="1:14" ht="18" x14ac:dyDescent="0.25">
      <c r="A5" s="8">
        <v>1</v>
      </c>
      <c r="B5" s="9"/>
      <c r="C5" s="70">
        <f>incomes!C4</f>
        <v>19731</v>
      </c>
      <c r="D5" s="71">
        <f>outcomes!C3</f>
        <v>22921</v>
      </c>
      <c r="E5" s="72">
        <f>(C3+C5)-D5</f>
        <v>10712</v>
      </c>
      <c r="F5" s="2"/>
      <c r="G5" s="2"/>
      <c r="H5" s="2"/>
      <c r="I5" s="2"/>
      <c r="J5" s="2"/>
    </row>
    <row r="6" spans="1:14" ht="18" x14ac:dyDescent="0.25">
      <c r="A6" s="8"/>
      <c r="B6" s="9"/>
      <c r="C6" s="73"/>
      <c r="D6" s="73"/>
      <c r="E6" s="74"/>
      <c r="F6" s="2"/>
      <c r="G6" s="2"/>
      <c r="H6" s="2"/>
      <c r="I6" s="2"/>
      <c r="J6" s="2"/>
    </row>
    <row r="7" spans="1:14" ht="18" x14ac:dyDescent="0.25">
      <c r="A7" s="8"/>
      <c r="B7" s="9"/>
      <c r="C7" s="73"/>
      <c r="D7" s="73"/>
      <c r="E7" s="74"/>
      <c r="F7" s="2"/>
      <c r="G7" s="2"/>
      <c r="H7" s="2"/>
      <c r="I7" s="2"/>
      <c r="J7" s="2"/>
    </row>
    <row r="8" spans="1:14" ht="18" x14ac:dyDescent="0.25">
      <c r="A8" s="8"/>
      <c r="B8" s="9"/>
      <c r="C8" s="73"/>
      <c r="D8" s="73"/>
      <c r="E8" s="74"/>
      <c r="F8" s="2"/>
      <c r="G8" s="2"/>
      <c r="H8" s="2"/>
      <c r="I8" s="2"/>
      <c r="J8" s="2"/>
    </row>
    <row r="9" spans="1:14" ht="18" x14ac:dyDescent="0.25">
      <c r="A9" s="8"/>
      <c r="B9" s="9"/>
      <c r="C9" s="73"/>
      <c r="D9" s="73"/>
      <c r="E9" s="74"/>
      <c r="F9" s="2"/>
      <c r="G9" s="2"/>
      <c r="H9" s="2"/>
      <c r="I9" s="2"/>
      <c r="J9" s="2"/>
    </row>
    <row r="10" spans="1:14" ht="18" x14ac:dyDescent="0.25">
      <c r="A10" s="8"/>
      <c r="B10" s="9"/>
      <c r="C10" s="73"/>
      <c r="D10" s="73"/>
      <c r="E10" s="74"/>
      <c r="F10" s="2"/>
      <c r="G10" s="2"/>
      <c r="H10" s="2"/>
      <c r="I10" s="2"/>
      <c r="J10" s="2"/>
    </row>
    <row r="11" spans="1:14" ht="18" x14ac:dyDescent="0.25">
      <c r="A11" s="8"/>
      <c r="B11" s="9"/>
      <c r="C11" s="73"/>
      <c r="D11" s="73"/>
      <c r="E11" s="74"/>
      <c r="F11" s="2"/>
      <c r="G11" s="2"/>
      <c r="H11" s="2"/>
      <c r="I11" s="2"/>
      <c r="J11" s="2"/>
    </row>
    <row r="12" spans="1:14" ht="18" x14ac:dyDescent="0.25">
      <c r="A12" s="8"/>
      <c r="B12" s="9"/>
      <c r="C12" s="73"/>
      <c r="D12" s="73"/>
      <c r="E12" s="74"/>
      <c r="F12" s="2"/>
      <c r="G12" s="2"/>
      <c r="H12" s="2"/>
      <c r="I12" s="2"/>
      <c r="J12" s="2"/>
    </row>
    <row r="13" spans="1:14" ht="18" x14ac:dyDescent="0.25">
      <c r="A13" s="8"/>
      <c r="B13" s="9"/>
      <c r="C13" s="73"/>
      <c r="D13" s="73"/>
      <c r="E13" s="74"/>
      <c r="F13" s="2"/>
      <c r="G13" s="2"/>
      <c r="H13" s="2"/>
      <c r="I13" s="2"/>
      <c r="J13" s="2"/>
    </row>
    <row r="14" spans="1:14" ht="18" x14ac:dyDescent="0.25">
      <c r="A14" s="8"/>
      <c r="B14" s="9"/>
      <c r="C14" s="73"/>
      <c r="D14" s="73"/>
      <c r="E14" s="74"/>
      <c r="F14" s="2"/>
      <c r="G14" s="2"/>
      <c r="H14" s="2"/>
      <c r="I14" s="2"/>
      <c r="J14" s="2"/>
    </row>
    <row r="15" spans="1:14" ht="18" x14ac:dyDescent="0.25">
      <c r="A15" s="8"/>
      <c r="B15" s="9"/>
      <c r="C15" s="73"/>
      <c r="D15" s="73"/>
      <c r="E15" s="74"/>
      <c r="F15" s="2"/>
      <c r="G15" s="2"/>
      <c r="H15" s="2"/>
      <c r="I15" s="2"/>
      <c r="J15" s="2"/>
    </row>
    <row r="16" spans="1:14" ht="18" x14ac:dyDescent="0.25">
      <c r="A16" s="8"/>
      <c r="B16" s="9"/>
      <c r="C16" s="73"/>
      <c r="D16" s="73"/>
      <c r="E16" s="74"/>
      <c r="F16" s="2"/>
      <c r="G16" s="2"/>
      <c r="H16" s="2"/>
      <c r="I16" s="2"/>
      <c r="J16" s="2"/>
    </row>
    <row r="17" spans="1:10" ht="18" x14ac:dyDescent="0.25">
      <c r="A17" s="8"/>
      <c r="B17" s="9"/>
      <c r="C17" s="73"/>
      <c r="D17" s="73"/>
      <c r="E17" s="74"/>
      <c r="F17" s="2"/>
      <c r="G17" s="2"/>
      <c r="H17" s="2"/>
      <c r="I17" s="2"/>
      <c r="J17" s="2"/>
    </row>
    <row r="18" spans="1:10" ht="18" x14ac:dyDescent="0.25">
      <c r="A18" s="8"/>
      <c r="B18" s="9"/>
      <c r="C18" s="73"/>
      <c r="D18" s="73"/>
      <c r="E18" s="74"/>
      <c r="F18" s="2"/>
      <c r="G18" s="2"/>
      <c r="H18" s="2"/>
      <c r="I18" s="2"/>
      <c r="J18" s="2"/>
    </row>
    <row r="19" spans="1:10" ht="18" x14ac:dyDescent="0.25">
      <c r="A19" s="8"/>
      <c r="B19" s="9"/>
      <c r="C19" s="73"/>
      <c r="D19" s="73"/>
      <c r="E19" s="74"/>
      <c r="F19" s="2"/>
      <c r="G19" s="2"/>
      <c r="H19" s="2"/>
      <c r="I19" s="2"/>
      <c r="J19" s="2"/>
    </row>
    <row r="20" spans="1:10" ht="18" x14ac:dyDescent="0.25">
      <c r="A20" s="8"/>
      <c r="B20" s="9"/>
      <c r="C20" s="73"/>
      <c r="D20" s="73"/>
      <c r="E20" s="74"/>
      <c r="F20" s="2"/>
      <c r="G20" s="2"/>
      <c r="H20" s="2"/>
      <c r="I20" s="2"/>
      <c r="J20" s="2"/>
    </row>
    <row r="21" spans="1:10" ht="18" x14ac:dyDescent="0.25">
      <c r="A21" s="8"/>
      <c r="B21" s="9"/>
      <c r="C21" s="73"/>
      <c r="D21" s="73"/>
      <c r="E21" s="74"/>
      <c r="F21" s="2"/>
      <c r="G21" s="2"/>
      <c r="H21" s="2"/>
      <c r="I21" s="2"/>
      <c r="J21" s="2"/>
    </row>
    <row r="22" spans="1:10" ht="18" x14ac:dyDescent="0.25">
      <c r="A22" s="8"/>
      <c r="B22" s="9"/>
      <c r="C22" s="73"/>
      <c r="D22" s="73"/>
      <c r="E22" s="74"/>
      <c r="F22" s="2"/>
      <c r="G22" s="2"/>
      <c r="H22" s="2"/>
      <c r="I22" s="2"/>
      <c r="J22" s="2"/>
    </row>
    <row r="23" spans="1:10" ht="18" x14ac:dyDescent="0.25">
      <c r="A23" s="8"/>
      <c r="B23" s="9"/>
      <c r="C23" s="73"/>
      <c r="D23" s="73"/>
      <c r="E23" s="74"/>
      <c r="F23" s="2"/>
      <c r="G23" s="2"/>
      <c r="H23" s="2"/>
      <c r="I23" s="2"/>
      <c r="J23" s="2"/>
    </row>
    <row r="24" spans="1:10" ht="18" x14ac:dyDescent="0.25">
      <c r="A24" s="8"/>
      <c r="B24" s="9"/>
      <c r="C24" s="73"/>
      <c r="D24" s="73"/>
      <c r="E24" s="74"/>
      <c r="F24" s="2"/>
      <c r="G24" s="2"/>
      <c r="H24" s="2"/>
      <c r="I24" s="2"/>
      <c r="J24" s="2"/>
    </row>
    <row r="25" spans="1:10" ht="18" x14ac:dyDescent="0.25">
      <c r="A25" s="8"/>
      <c r="B25" s="9"/>
      <c r="C25" s="73"/>
      <c r="D25" s="73"/>
      <c r="E25" s="74"/>
      <c r="F25" s="2"/>
      <c r="G25" s="2"/>
      <c r="H25" s="2"/>
      <c r="I25" s="2"/>
      <c r="J25" s="2"/>
    </row>
    <row r="26" spans="1:10" ht="18" x14ac:dyDescent="0.25">
      <c r="A26" s="8"/>
      <c r="B26" s="9"/>
      <c r="C26" s="73"/>
      <c r="D26" s="73"/>
      <c r="E26" s="74"/>
      <c r="F26" s="2"/>
      <c r="G26" s="2"/>
      <c r="H26" s="2"/>
      <c r="I26" s="2"/>
      <c r="J26" s="2"/>
    </row>
    <row r="27" spans="1:10" ht="18" x14ac:dyDescent="0.25">
      <c r="A27" s="8"/>
      <c r="B27" s="9"/>
      <c r="C27" s="73"/>
      <c r="D27" s="73"/>
      <c r="E27" s="74"/>
      <c r="F27" s="2"/>
      <c r="G27" s="2"/>
      <c r="H27" s="2"/>
      <c r="I27" s="2"/>
      <c r="J27" s="2"/>
    </row>
    <row r="28" spans="1:10" ht="18" x14ac:dyDescent="0.25">
      <c r="A28" s="8"/>
      <c r="B28" s="9"/>
      <c r="C28" s="73"/>
      <c r="D28" s="73"/>
      <c r="E28" s="74"/>
      <c r="F28" s="2"/>
      <c r="G28" s="2"/>
      <c r="H28" s="2"/>
      <c r="I28" s="2"/>
      <c r="J28" s="2"/>
    </row>
    <row r="29" spans="1:10" ht="18" x14ac:dyDescent="0.25">
      <c r="A29" s="8"/>
      <c r="B29" s="9"/>
      <c r="C29" s="73"/>
      <c r="D29" s="73"/>
      <c r="E29" s="74"/>
      <c r="F29" s="2"/>
      <c r="G29" s="2"/>
      <c r="H29" s="2"/>
      <c r="I29" s="2"/>
      <c r="J29" s="2"/>
    </row>
    <row r="30" spans="1:10" ht="18" x14ac:dyDescent="0.25">
      <c r="A30" s="8"/>
      <c r="B30" s="9"/>
      <c r="C30" s="73"/>
      <c r="D30" s="73"/>
      <c r="E30" s="74"/>
      <c r="F30" s="2"/>
      <c r="G30" s="2"/>
      <c r="H30" s="2"/>
      <c r="I30" s="2"/>
      <c r="J30" s="2"/>
    </row>
    <row r="31" spans="1:10" ht="18" x14ac:dyDescent="0.25">
      <c r="A31" s="8"/>
      <c r="B31" s="9"/>
      <c r="C31" s="73"/>
      <c r="D31" s="73"/>
      <c r="E31" s="74"/>
      <c r="F31" s="2"/>
      <c r="G31" s="2"/>
      <c r="H31" s="2"/>
      <c r="I31" s="2"/>
      <c r="J31" s="2"/>
    </row>
    <row r="32" spans="1:10" ht="18" x14ac:dyDescent="0.25">
      <c r="A32" s="8"/>
      <c r="B32" s="9"/>
      <c r="C32" s="73"/>
      <c r="D32" s="73"/>
      <c r="E32" s="74"/>
      <c r="F32" s="2"/>
      <c r="G32" s="2"/>
      <c r="H32" s="2"/>
      <c r="I32" s="2"/>
      <c r="J32" s="2"/>
    </row>
    <row r="33" spans="1:10" ht="18" x14ac:dyDescent="0.25">
      <c r="A33" s="8"/>
      <c r="B33" s="9"/>
      <c r="C33" s="73"/>
      <c r="D33" s="73"/>
      <c r="E33" s="74"/>
      <c r="F33" s="2"/>
      <c r="G33" s="2"/>
      <c r="H33" s="2"/>
      <c r="I33" s="2"/>
      <c r="J33" s="2"/>
    </row>
  </sheetData>
  <mergeCells count="1">
    <mergeCell ref="B2:N2"/>
  </mergeCells>
  <pageMargins left="0.7" right="0.7" top="0.75" bottom="0.75" header="0.3" footer="0.3"/>
  <pageSetup paperSize="9" orientation="landscape"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T114"/>
  <sheetViews>
    <sheetView rightToLeft="1" topLeftCell="A39" workbookViewId="0">
      <selection activeCell="B53" sqref="B53"/>
    </sheetView>
  </sheetViews>
  <sheetFormatPr defaultRowHeight="14.25" x14ac:dyDescent="0.2"/>
  <cols>
    <col min="1" max="1" width="7.625" style="66" customWidth="1"/>
    <col min="2" max="2" width="14.875" style="61" customWidth="1"/>
    <col min="3" max="3" width="9.25" style="56" bestFit="1" customWidth="1"/>
    <col min="4" max="4" width="9" style="3"/>
  </cols>
  <sheetData>
    <row r="2" spans="1:19" ht="26.25" x14ac:dyDescent="0.4">
      <c r="B2" s="99" t="s">
        <v>10</v>
      </c>
      <c r="C2" s="99"/>
      <c r="D2" s="99"/>
      <c r="E2" s="99"/>
      <c r="F2" s="99"/>
      <c r="G2" s="99"/>
      <c r="H2" s="99"/>
      <c r="I2" s="99"/>
      <c r="J2" s="99"/>
      <c r="K2" s="99"/>
      <c r="L2" s="99"/>
      <c r="M2" s="99"/>
      <c r="N2" s="99"/>
    </row>
    <row r="3" spans="1:19" ht="18" x14ac:dyDescent="0.25">
      <c r="B3" s="58" t="s">
        <v>12</v>
      </c>
      <c r="C3" s="53">
        <f>SUM(C5:C2002)</f>
        <v>22921</v>
      </c>
    </row>
    <row r="4" spans="1:19" ht="36" x14ac:dyDescent="0.2">
      <c r="A4" s="4" t="s">
        <v>7</v>
      </c>
      <c r="B4" s="59" t="s">
        <v>1</v>
      </c>
      <c r="C4" s="54" t="s">
        <v>11</v>
      </c>
      <c r="D4" s="4" t="s">
        <v>4</v>
      </c>
      <c r="E4" s="5"/>
      <c r="F4" s="5"/>
      <c r="G4" s="5"/>
      <c r="H4" s="5"/>
      <c r="I4" s="5"/>
      <c r="J4" s="5"/>
      <c r="S4" t="s">
        <v>152</v>
      </c>
    </row>
    <row r="5" spans="1:19" ht="18" x14ac:dyDescent="0.25">
      <c r="A5" s="33">
        <v>1</v>
      </c>
      <c r="B5" s="60">
        <v>46023</v>
      </c>
      <c r="C5" s="55">
        <v>100</v>
      </c>
      <c r="D5" s="8" t="s">
        <v>245</v>
      </c>
      <c r="S5">
        <v>4</v>
      </c>
    </row>
    <row r="6" spans="1:19" ht="18" x14ac:dyDescent="0.25">
      <c r="A6" s="33">
        <v>2</v>
      </c>
      <c r="B6" s="60">
        <v>46035</v>
      </c>
      <c r="C6" s="55">
        <v>1100</v>
      </c>
      <c r="D6" s="8" t="s">
        <v>246</v>
      </c>
      <c r="E6" s="2"/>
      <c r="F6" s="2"/>
      <c r="G6" s="2"/>
      <c r="H6" s="2"/>
      <c r="I6" s="2"/>
      <c r="J6" s="2"/>
      <c r="S6">
        <v>3</v>
      </c>
    </row>
    <row r="7" spans="1:19" ht="18" x14ac:dyDescent="0.25">
      <c r="A7" s="33">
        <v>3</v>
      </c>
      <c r="B7" s="60">
        <v>46039</v>
      </c>
      <c r="C7" s="55">
        <v>50</v>
      </c>
      <c r="D7" s="8" t="s">
        <v>247</v>
      </c>
      <c r="E7" s="2"/>
      <c r="F7" s="2"/>
      <c r="G7" s="2"/>
      <c r="H7" s="2"/>
      <c r="I7" s="2"/>
      <c r="J7" s="2"/>
      <c r="S7">
        <v>1</v>
      </c>
    </row>
    <row r="8" spans="1:19" ht="18" x14ac:dyDescent="0.25">
      <c r="A8" s="33">
        <v>4</v>
      </c>
      <c r="B8" s="60">
        <v>46046</v>
      </c>
      <c r="C8" s="55">
        <v>1023</v>
      </c>
      <c r="D8" s="8" t="s">
        <v>248</v>
      </c>
      <c r="E8" s="2"/>
      <c r="F8" s="2"/>
      <c r="G8" s="2"/>
      <c r="H8" s="2"/>
      <c r="I8" s="2"/>
      <c r="J8" s="2"/>
      <c r="S8">
        <v>1</v>
      </c>
    </row>
    <row r="9" spans="1:19" ht="18" x14ac:dyDescent="0.25">
      <c r="A9" s="33">
        <v>5</v>
      </c>
      <c r="B9" s="60">
        <v>46058</v>
      </c>
      <c r="C9" s="55">
        <v>400</v>
      </c>
      <c r="D9" s="8" t="s">
        <v>250</v>
      </c>
      <c r="S9">
        <v>2</v>
      </c>
    </row>
    <row r="10" spans="1:19" ht="18" x14ac:dyDescent="0.25">
      <c r="A10" s="33">
        <v>6</v>
      </c>
      <c r="B10" s="60">
        <v>46058</v>
      </c>
      <c r="C10" s="55">
        <v>50</v>
      </c>
      <c r="D10" s="8" t="s">
        <v>251</v>
      </c>
      <c r="E10" s="2"/>
      <c r="F10" s="2"/>
      <c r="G10" s="2"/>
      <c r="H10" s="2"/>
      <c r="I10" s="2"/>
      <c r="J10" s="2"/>
      <c r="S10">
        <v>6</v>
      </c>
    </row>
    <row r="11" spans="1:19" ht="18" x14ac:dyDescent="0.25">
      <c r="A11" s="33">
        <v>7</v>
      </c>
      <c r="B11" s="60">
        <v>46058</v>
      </c>
      <c r="C11" s="55">
        <v>50</v>
      </c>
      <c r="D11" s="8" t="s">
        <v>252</v>
      </c>
      <c r="E11" s="2"/>
      <c r="F11" s="2"/>
      <c r="G11" s="2"/>
      <c r="H11" s="2"/>
      <c r="I11" s="2"/>
      <c r="J11" s="2"/>
      <c r="S11">
        <v>1</v>
      </c>
    </row>
    <row r="12" spans="1:19" ht="18" x14ac:dyDescent="0.25">
      <c r="A12" s="33">
        <v>8</v>
      </c>
      <c r="B12" s="60">
        <v>46067</v>
      </c>
      <c r="C12" s="55">
        <v>930</v>
      </c>
      <c r="D12" s="8" t="s">
        <v>273</v>
      </c>
      <c r="S12">
        <v>1</v>
      </c>
    </row>
    <row r="13" spans="1:19" ht="18" x14ac:dyDescent="0.25">
      <c r="A13" s="33">
        <v>9</v>
      </c>
      <c r="B13" s="60">
        <v>46067</v>
      </c>
      <c r="C13" s="55">
        <v>930</v>
      </c>
      <c r="D13" s="8" t="s">
        <v>274</v>
      </c>
      <c r="S13">
        <v>4</v>
      </c>
    </row>
    <row r="14" spans="1:19" ht="18" x14ac:dyDescent="0.25">
      <c r="A14" s="33">
        <v>10</v>
      </c>
      <c r="B14" s="60">
        <v>46075</v>
      </c>
      <c r="C14" s="55">
        <v>683</v>
      </c>
      <c r="D14" s="8" t="s">
        <v>253</v>
      </c>
      <c r="S14">
        <v>1</v>
      </c>
    </row>
    <row r="15" spans="1:19" ht="18" x14ac:dyDescent="0.25">
      <c r="A15" s="33">
        <v>11</v>
      </c>
      <c r="B15" s="60">
        <v>46075</v>
      </c>
      <c r="C15" s="55">
        <v>3</v>
      </c>
      <c r="D15" s="8" t="s">
        <v>254</v>
      </c>
      <c r="E15" s="2"/>
      <c r="F15" s="2"/>
      <c r="G15" s="2"/>
      <c r="H15" s="2"/>
      <c r="I15" s="2"/>
      <c r="J15" s="2"/>
      <c r="S15">
        <v>6</v>
      </c>
    </row>
    <row r="16" spans="1:19" ht="18" x14ac:dyDescent="0.25">
      <c r="A16" s="33">
        <v>12</v>
      </c>
      <c r="B16" s="60">
        <v>46075</v>
      </c>
      <c r="C16" s="55">
        <v>20</v>
      </c>
      <c r="D16" s="8" t="s">
        <v>255</v>
      </c>
      <c r="S16">
        <v>6</v>
      </c>
    </row>
    <row r="17" spans="1:19" ht="18" x14ac:dyDescent="0.25">
      <c r="A17" s="33">
        <v>13</v>
      </c>
      <c r="B17" s="60">
        <v>46056</v>
      </c>
      <c r="C17" s="55">
        <v>400</v>
      </c>
      <c r="D17" s="8" t="s">
        <v>256</v>
      </c>
      <c r="E17" s="2"/>
      <c r="F17" s="2"/>
      <c r="G17" s="2"/>
      <c r="H17" s="2"/>
      <c r="I17" s="2"/>
      <c r="J17" s="2"/>
      <c r="S17">
        <v>1</v>
      </c>
    </row>
    <row r="18" spans="1:19" ht="18" x14ac:dyDescent="0.25">
      <c r="A18" s="33">
        <v>14</v>
      </c>
      <c r="B18" s="60">
        <v>46057</v>
      </c>
      <c r="C18" s="55">
        <v>1000</v>
      </c>
      <c r="D18" s="8" t="s">
        <v>265</v>
      </c>
      <c r="E18" s="2"/>
      <c r="F18" s="2"/>
      <c r="G18" s="2"/>
      <c r="H18" s="2"/>
      <c r="I18" s="2"/>
      <c r="J18" s="2"/>
      <c r="S18">
        <v>4</v>
      </c>
    </row>
    <row r="19" spans="1:19" ht="18" x14ac:dyDescent="0.25">
      <c r="A19" s="33">
        <v>15</v>
      </c>
      <c r="B19" s="60">
        <v>46057</v>
      </c>
      <c r="C19" s="55">
        <v>10</v>
      </c>
      <c r="D19" s="8" t="s">
        <v>257</v>
      </c>
      <c r="I19" s="2"/>
      <c r="J19" s="2"/>
      <c r="S19">
        <v>6</v>
      </c>
    </row>
    <row r="20" spans="1:19" ht="18" x14ac:dyDescent="0.25">
      <c r="A20" s="33">
        <v>16</v>
      </c>
      <c r="B20" s="60">
        <v>46091</v>
      </c>
      <c r="C20" s="55">
        <v>675</v>
      </c>
      <c r="D20" s="8" t="s">
        <v>263</v>
      </c>
      <c r="E20" s="2"/>
      <c r="F20" s="2"/>
      <c r="G20" s="2"/>
      <c r="H20" s="2"/>
      <c r="I20" s="2"/>
      <c r="J20" s="2"/>
      <c r="S20">
        <v>1</v>
      </c>
    </row>
    <row r="21" spans="1:19" ht="18" x14ac:dyDescent="0.25">
      <c r="A21" s="33">
        <v>17</v>
      </c>
      <c r="B21" s="60">
        <v>46092</v>
      </c>
      <c r="C21" s="55">
        <v>1650</v>
      </c>
      <c r="D21" s="8" t="s">
        <v>264</v>
      </c>
      <c r="E21" s="2"/>
      <c r="F21" s="2"/>
      <c r="G21" s="2"/>
      <c r="H21" s="2"/>
      <c r="I21" s="2"/>
      <c r="J21" s="2"/>
      <c r="S21">
        <v>1</v>
      </c>
    </row>
    <row r="22" spans="1:19" ht="18" x14ac:dyDescent="0.25">
      <c r="A22" s="33">
        <v>18</v>
      </c>
      <c r="B22" s="60">
        <v>46096</v>
      </c>
      <c r="C22" s="55">
        <v>1030</v>
      </c>
      <c r="D22" s="8" t="s">
        <v>272</v>
      </c>
      <c r="E22" s="2"/>
      <c r="F22" s="2"/>
      <c r="G22" s="2"/>
      <c r="H22" s="2"/>
      <c r="I22" s="2"/>
      <c r="J22" s="2"/>
      <c r="S22">
        <v>4</v>
      </c>
    </row>
    <row r="23" spans="1:19" ht="18" x14ac:dyDescent="0.25">
      <c r="A23" s="33">
        <v>19</v>
      </c>
      <c r="B23" s="60">
        <v>46109</v>
      </c>
      <c r="C23" s="55">
        <v>400</v>
      </c>
      <c r="D23" s="8" t="s">
        <v>268</v>
      </c>
      <c r="E23" s="2"/>
      <c r="F23" s="2"/>
      <c r="G23" s="2"/>
      <c r="H23" s="2"/>
      <c r="I23" s="2"/>
      <c r="J23" s="2"/>
      <c r="S23">
        <v>4</v>
      </c>
    </row>
    <row r="24" spans="1:19" ht="18" x14ac:dyDescent="0.25">
      <c r="A24" s="33">
        <v>20</v>
      </c>
      <c r="B24" s="60">
        <v>46126</v>
      </c>
      <c r="C24" s="55">
        <v>1030</v>
      </c>
      <c r="D24" s="8" t="s">
        <v>271</v>
      </c>
      <c r="E24" s="2"/>
      <c r="F24" s="2"/>
      <c r="G24" s="2"/>
      <c r="H24" s="2"/>
      <c r="I24" s="2"/>
      <c r="J24" s="2"/>
      <c r="S24">
        <v>1</v>
      </c>
    </row>
    <row r="25" spans="1:19" ht="18" x14ac:dyDescent="0.25">
      <c r="A25" s="33">
        <v>21</v>
      </c>
      <c r="B25" s="60">
        <v>46129</v>
      </c>
      <c r="C25" s="55">
        <v>285</v>
      </c>
      <c r="D25" s="8" t="s">
        <v>278</v>
      </c>
      <c r="E25" s="2"/>
      <c r="F25" s="2"/>
      <c r="G25" s="2"/>
      <c r="H25" s="2"/>
      <c r="I25" s="2"/>
      <c r="J25" s="2"/>
    </row>
    <row r="26" spans="1:19" ht="18" x14ac:dyDescent="0.25">
      <c r="A26" s="33">
        <v>22</v>
      </c>
      <c r="B26" s="60">
        <v>46129</v>
      </c>
      <c r="C26" s="55">
        <v>5</v>
      </c>
      <c r="D26" s="8" t="s">
        <v>275</v>
      </c>
      <c r="I26" s="2"/>
      <c r="J26" s="2"/>
    </row>
    <row r="27" spans="1:19" ht="18" x14ac:dyDescent="0.25">
      <c r="A27" s="33">
        <v>23</v>
      </c>
      <c r="B27" s="60">
        <v>46142</v>
      </c>
      <c r="C27" s="55">
        <v>400</v>
      </c>
      <c r="D27" s="8" t="s">
        <v>276</v>
      </c>
      <c r="E27" s="2"/>
      <c r="F27" s="2"/>
      <c r="G27" s="2"/>
      <c r="H27" s="2"/>
      <c r="I27" s="2"/>
      <c r="J27" s="2"/>
      <c r="S27">
        <v>6</v>
      </c>
    </row>
    <row r="28" spans="1:19" ht="18" x14ac:dyDescent="0.25">
      <c r="A28" s="33">
        <v>24</v>
      </c>
      <c r="B28" s="60">
        <v>46142</v>
      </c>
      <c r="C28" s="55">
        <v>50</v>
      </c>
      <c r="D28" s="8" t="s">
        <v>277</v>
      </c>
      <c r="E28" s="2"/>
      <c r="F28" s="2"/>
      <c r="G28" s="2"/>
      <c r="H28" s="2"/>
      <c r="I28" s="2"/>
      <c r="J28" s="2"/>
    </row>
    <row r="29" spans="1:19" ht="18" x14ac:dyDescent="0.25">
      <c r="A29" s="33">
        <v>25</v>
      </c>
      <c r="B29" s="60">
        <v>46155</v>
      </c>
      <c r="C29" s="55">
        <v>1030</v>
      </c>
      <c r="D29" s="8" t="s">
        <v>282</v>
      </c>
      <c r="E29" s="2"/>
      <c r="F29" s="2"/>
      <c r="G29" s="2"/>
      <c r="H29" s="2"/>
      <c r="I29" s="2"/>
      <c r="J29" s="2"/>
    </row>
    <row r="30" spans="1:19" ht="18" x14ac:dyDescent="0.25">
      <c r="A30" s="33">
        <v>26</v>
      </c>
      <c r="B30" s="60">
        <v>46158</v>
      </c>
      <c r="C30" s="55">
        <v>463</v>
      </c>
      <c r="D30" s="8" t="s">
        <v>283</v>
      </c>
      <c r="E30" s="2"/>
      <c r="F30" s="2"/>
      <c r="G30" s="2"/>
      <c r="H30" s="2"/>
      <c r="I30" s="2"/>
      <c r="J30" s="2"/>
    </row>
    <row r="31" spans="1:19" ht="18" x14ac:dyDescent="0.25">
      <c r="A31" s="33">
        <v>27</v>
      </c>
      <c r="B31" s="60">
        <v>46159</v>
      </c>
      <c r="C31" s="55">
        <v>1000</v>
      </c>
      <c r="D31" s="8" t="s">
        <v>284</v>
      </c>
      <c r="E31" s="2"/>
      <c r="F31" s="2"/>
      <c r="G31" s="2"/>
      <c r="H31" s="2"/>
      <c r="I31" s="2"/>
      <c r="J31" s="2"/>
    </row>
    <row r="32" spans="1:19" ht="18" x14ac:dyDescent="0.25">
      <c r="A32" s="33">
        <v>28</v>
      </c>
      <c r="B32" s="60">
        <v>46168</v>
      </c>
      <c r="C32" s="55">
        <v>400</v>
      </c>
      <c r="D32" s="8" t="s">
        <v>287</v>
      </c>
      <c r="E32" s="2"/>
      <c r="F32" s="2"/>
      <c r="G32" s="2"/>
      <c r="H32" s="2"/>
      <c r="I32" s="2"/>
      <c r="J32" s="2"/>
    </row>
    <row r="33" spans="1:20" ht="18" x14ac:dyDescent="0.25">
      <c r="A33" s="33">
        <v>29</v>
      </c>
      <c r="B33" s="60">
        <v>46189</v>
      </c>
      <c r="C33" s="55">
        <v>238</v>
      </c>
      <c r="D33" s="8" t="s">
        <v>291</v>
      </c>
      <c r="E33" s="2"/>
      <c r="F33" s="2"/>
      <c r="G33" s="2"/>
      <c r="H33" s="2"/>
      <c r="I33" s="2"/>
      <c r="J33" s="2"/>
      <c r="T33" t="s">
        <v>151</v>
      </c>
    </row>
    <row r="34" spans="1:20" ht="18" x14ac:dyDescent="0.25">
      <c r="A34" s="33">
        <v>30</v>
      </c>
      <c r="B34" s="60">
        <v>46189</v>
      </c>
      <c r="C34" s="55">
        <v>5</v>
      </c>
      <c r="D34" s="8" t="s">
        <v>275</v>
      </c>
      <c r="E34" s="2"/>
      <c r="F34" s="2"/>
      <c r="G34" s="2"/>
      <c r="H34" s="2"/>
      <c r="I34" s="2"/>
      <c r="J34" s="2"/>
    </row>
    <row r="35" spans="1:20" ht="18" x14ac:dyDescent="0.25">
      <c r="A35" s="33">
        <v>31</v>
      </c>
      <c r="B35" s="60">
        <v>46197</v>
      </c>
      <c r="C35" s="55">
        <v>1030</v>
      </c>
      <c r="D35" s="8" t="s">
        <v>292</v>
      </c>
    </row>
    <row r="36" spans="1:20" ht="18" x14ac:dyDescent="0.25">
      <c r="A36" s="33">
        <v>32</v>
      </c>
      <c r="B36" s="60">
        <v>46197</v>
      </c>
      <c r="C36" s="55">
        <v>400</v>
      </c>
      <c r="D36" s="8" t="s">
        <v>293</v>
      </c>
    </row>
    <row r="37" spans="1:20" ht="18" x14ac:dyDescent="0.25">
      <c r="A37" s="33">
        <v>33</v>
      </c>
      <c r="B37" s="96">
        <v>46217</v>
      </c>
      <c r="C37" s="55">
        <v>20</v>
      </c>
      <c r="D37" s="8" t="s">
        <v>297</v>
      </c>
    </row>
    <row r="38" spans="1:20" ht="18" x14ac:dyDescent="0.25">
      <c r="A38" s="33">
        <v>34</v>
      </c>
      <c r="B38" s="60">
        <v>46220</v>
      </c>
      <c r="C38" s="55">
        <v>231</v>
      </c>
      <c r="D38" s="8" t="s">
        <v>298</v>
      </c>
    </row>
    <row r="39" spans="1:20" ht="18" x14ac:dyDescent="0.25">
      <c r="A39" s="33">
        <v>35</v>
      </c>
      <c r="B39" s="60">
        <v>46225</v>
      </c>
      <c r="C39" s="55">
        <v>1030</v>
      </c>
      <c r="D39" s="8" t="s">
        <v>299</v>
      </c>
    </row>
    <row r="40" spans="1:20" ht="18" x14ac:dyDescent="0.25">
      <c r="A40" s="33">
        <v>36</v>
      </c>
      <c r="B40" s="60">
        <v>46234</v>
      </c>
      <c r="C40" s="55">
        <v>400</v>
      </c>
      <c r="D40" s="8" t="s">
        <v>303</v>
      </c>
      <c r="E40" s="2"/>
    </row>
    <row r="41" spans="1:20" ht="18" x14ac:dyDescent="0.25">
      <c r="A41" s="33">
        <v>37</v>
      </c>
      <c r="B41" s="60">
        <v>46234</v>
      </c>
      <c r="C41" s="55">
        <v>50</v>
      </c>
      <c r="D41" s="8" t="s">
        <v>277</v>
      </c>
    </row>
    <row r="42" spans="1:20" ht="18" x14ac:dyDescent="0.25">
      <c r="A42" s="33">
        <v>38</v>
      </c>
      <c r="B42" s="60">
        <v>46254</v>
      </c>
      <c r="C42" s="55">
        <v>1030</v>
      </c>
      <c r="D42" s="8" t="s">
        <v>308</v>
      </c>
    </row>
    <row r="43" spans="1:20" ht="18" x14ac:dyDescent="0.25">
      <c r="A43" s="33">
        <v>39</v>
      </c>
      <c r="B43" s="60">
        <v>46262</v>
      </c>
      <c r="C43" s="55">
        <v>400</v>
      </c>
      <c r="D43" s="8" t="s">
        <v>310</v>
      </c>
    </row>
    <row r="44" spans="1:20" ht="18" x14ac:dyDescent="0.25">
      <c r="A44" s="33">
        <v>40</v>
      </c>
      <c r="B44" s="60">
        <v>46264</v>
      </c>
      <c r="C44" s="55">
        <v>243</v>
      </c>
      <c r="D44" s="8" t="s">
        <v>311</v>
      </c>
    </row>
    <row r="45" spans="1:20" ht="18" x14ac:dyDescent="0.25">
      <c r="A45" s="33">
        <v>41</v>
      </c>
      <c r="B45" s="60">
        <v>46264</v>
      </c>
      <c r="C45" s="55">
        <v>2</v>
      </c>
      <c r="D45" s="8" t="s">
        <v>275</v>
      </c>
    </row>
    <row r="46" spans="1:20" ht="18" x14ac:dyDescent="0.25">
      <c r="A46" s="33">
        <v>42</v>
      </c>
      <c r="B46" s="60">
        <v>46270</v>
      </c>
      <c r="C46" s="55">
        <v>50</v>
      </c>
      <c r="D46" s="8" t="s">
        <v>252</v>
      </c>
    </row>
    <row r="47" spans="1:20" ht="18" x14ac:dyDescent="0.25">
      <c r="A47" s="33">
        <v>43</v>
      </c>
      <c r="B47" s="60">
        <v>46282</v>
      </c>
      <c r="C47" s="55">
        <v>298</v>
      </c>
      <c r="D47" s="8" t="s">
        <v>314</v>
      </c>
    </row>
    <row r="48" spans="1:20" ht="18" x14ac:dyDescent="0.25">
      <c r="A48" s="33">
        <v>44</v>
      </c>
      <c r="B48" s="60">
        <v>46282</v>
      </c>
      <c r="C48" s="55">
        <v>2</v>
      </c>
      <c r="D48" s="8" t="s">
        <v>275</v>
      </c>
    </row>
    <row r="49" spans="1:4" ht="18" x14ac:dyDescent="0.25">
      <c r="A49" s="33">
        <v>45</v>
      </c>
      <c r="B49" s="60">
        <v>46282</v>
      </c>
      <c r="C49" s="55">
        <v>1030</v>
      </c>
      <c r="D49" s="8" t="s">
        <v>315</v>
      </c>
    </row>
    <row r="50" spans="1:4" ht="18" x14ac:dyDescent="0.25">
      <c r="A50" s="33">
        <v>46</v>
      </c>
      <c r="B50" s="60">
        <v>46282</v>
      </c>
      <c r="C50" s="55">
        <v>20</v>
      </c>
      <c r="D50" s="8" t="s">
        <v>316</v>
      </c>
    </row>
    <row r="51" spans="1:4" ht="18" x14ac:dyDescent="0.25">
      <c r="A51" s="33">
        <v>47</v>
      </c>
      <c r="B51" s="60">
        <v>46297</v>
      </c>
      <c r="C51" s="55">
        <v>400</v>
      </c>
      <c r="D51" s="8" t="s">
        <v>317</v>
      </c>
    </row>
    <row r="52" spans="1:4" ht="18" x14ac:dyDescent="0.25">
      <c r="A52" s="33">
        <v>48</v>
      </c>
      <c r="B52" s="60">
        <v>46316</v>
      </c>
      <c r="C52" s="55">
        <v>875</v>
      </c>
      <c r="D52" s="8" t="s">
        <v>315</v>
      </c>
    </row>
    <row r="53" spans="1:4" ht="18" x14ac:dyDescent="0.25">
      <c r="A53" s="33">
        <v>49</v>
      </c>
      <c r="B53" s="60"/>
      <c r="C53" s="55"/>
      <c r="D53" s="8"/>
    </row>
    <row r="54" spans="1:4" ht="18" x14ac:dyDescent="0.25">
      <c r="A54" s="33">
        <v>50</v>
      </c>
      <c r="B54" s="60"/>
      <c r="C54" s="55"/>
      <c r="D54" s="8"/>
    </row>
    <row r="55" spans="1:4" ht="18" x14ac:dyDescent="0.25">
      <c r="A55" s="33">
        <v>51</v>
      </c>
      <c r="B55" s="60"/>
      <c r="C55" s="55"/>
      <c r="D55" s="8"/>
    </row>
    <row r="56" spans="1:4" ht="18" x14ac:dyDescent="0.25">
      <c r="A56" s="33">
        <v>52</v>
      </c>
      <c r="B56" s="60"/>
      <c r="C56" s="55"/>
      <c r="D56" s="8"/>
    </row>
    <row r="57" spans="1:4" ht="18" x14ac:dyDescent="0.25">
      <c r="A57" s="33">
        <v>53</v>
      </c>
      <c r="B57" s="60"/>
      <c r="C57" s="55"/>
      <c r="D57" s="8"/>
    </row>
    <row r="58" spans="1:4" ht="18" x14ac:dyDescent="0.25">
      <c r="A58" s="33">
        <v>54</v>
      </c>
      <c r="B58" s="60"/>
      <c r="C58" s="55"/>
      <c r="D58" s="8"/>
    </row>
    <row r="59" spans="1:4" ht="18" x14ac:dyDescent="0.25">
      <c r="A59" s="33">
        <v>55</v>
      </c>
      <c r="B59" s="60"/>
      <c r="C59" s="55"/>
      <c r="D59" s="8"/>
    </row>
    <row r="60" spans="1:4" ht="18" x14ac:dyDescent="0.25">
      <c r="A60" s="33">
        <v>56</v>
      </c>
      <c r="B60" s="60"/>
      <c r="C60" s="55"/>
      <c r="D60" s="8"/>
    </row>
    <row r="61" spans="1:4" ht="18" x14ac:dyDescent="0.25">
      <c r="A61" s="33">
        <v>57</v>
      </c>
      <c r="B61" s="60"/>
      <c r="C61" s="55"/>
      <c r="D61" s="8"/>
    </row>
    <row r="62" spans="1:4" ht="18" x14ac:dyDescent="0.25">
      <c r="A62" s="33">
        <v>58</v>
      </c>
      <c r="B62" s="60"/>
      <c r="C62" s="55"/>
      <c r="D62" s="8"/>
    </row>
    <row r="63" spans="1:4" ht="18" x14ac:dyDescent="0.25">
      <c r="A63" s="33">
        <v>59</v>
      </c>
      <c r="B63" s="60"/>
      <c r="C63" s="55"/>
      <c r="D63" s="8"/>
    </row>
    <row r="64" spans="1:4" ht="18" x14ac:dyDescent="0.25">
      <c r="A64" s="33">
        <v>60</v>
      </c>
      <c r="B64" s="60"/>
      <c r="C64" s="55"/>
      <c r="D64" s="8"/>
    </row>
    <row r="65" spans="1:4" ht="18" x14ac:dyDescent="0.25">
      <c r="A65" s="33">
        <v>61</v>
      </c>
      <c r="B65" s="60"/>
      <c r="C65" s="55"/>
      <c r="D65" s="8"/>
    </row>
    <row r="66" spans="1:4" ht="18" x14ac:dyDescent="0.25">
      <c r="A66" s="33">
        <v>62</v>
      </c>
      <c r="B66" s="60"/>
      <c r="C66" s="55"/>
      <c r="D66" s="8"/>
    </row>
    <row r="67" spans="1:4" ht="18" x14ac:dyDescent="0.25">
      <c r="A67" s="33">
        <v>63</v>
      </c>
      <c r="B67" s="60"/>
      <c r="C67" s="55"/>
      <c r="D67" s="8"/>
    </row>
    <row r="68" spans="1:4" ht="18" x14ac:dyDescent="0.25">
      <c r="A68" s="33">
        <v>64</v>
      </c>
      <c r="B68" s="60"/>
      <c r="C68" s="55"/>
      <c r="D68" s="8"/>
    </row>
    <row r="69" spans="1:4" ht="18" x14ac:dyDescent="0.25">
      <c r="A69" s="33">
        <v>65</v>
      </c>
      <c r="B69" s="60"/>
      <c r="C69" s="55"/>
      <c r="D69" s="8"/>
    </row>
    <row r="70" spans="1:4" ht="18" x14ac:dyDescent="0.25">
      <c r="A70" s="33">
        <v>66</v>
      </c>
      <c r="B70" s="60"/>
      <c r="C70" s="55"/>
      <c r="D70" s="8"/>
    </row>
    <row r="71" spans="1:4" ht="18" x14ac:dyDescent="0.25">
      <c r="A71" s="33">
        <v>67</v>
      </c>
      <c r="B71" s="60"/>
      <c r="C71" s="55"/>
      <c r="D71" s="8"/>
    </row>
    <row r="72" spans="1:4" ht="18" x14ac:dyDescent="0.25">
      <c r="A72" s="33">
        <v>68</v>
      </c>
      <c r="B72" s="60"/>
      <c r="C72" s="55"/>
      <c r="D72" s="8"/>
    </row>
    <row r="73" spans="1:4" ht="18" x14ac:dyDescent="0.25">
      <c r="A73" s="33">
        <v>69</v>
      </c>
      <c r="B73" s="60"/>
      <c r="C73" s="55"/>
      <c r="D73" s="8"/>
    </row>
    <row r="74" spans="1:4" ht="18" x14ac:dyDescent="0.25">
      <c r="A74" s="33">
        <v>70</v>
      </c>
      <c r="B74" s="60"/>
      <c r="C74" s="55"/>
      <c r="D74" s="8"/>
    </row>
    <row r="75" spans="1:4" ht="18" x14ac:dyDescent="0.25">
      <c r="A75" s="33">
        <v>71</v>
      </c>
      <c r="B75" s="60"/>
      <c r="C75" s="55"/>
      <c r="D75" s="8"/>
    </row>
    <row r="76" spans="1:4" ht="18" x14ac:dyDescent="0.25">
      <c r="A76" s="33">
        <v>72</v>
      </c>
      <c r="B76" s="60"/>
      <c r="C76" s="55"/>
      <c r="D76" s="8"/>
    </row>
    <row r="77" spans="1:4" ht="18" x14ac:dyDescent="0.25">
      <c r="A77" s="33">
        <v>73</v>
      </c>
      <c r="B77" s="60"/>
      <c r="C77" s="55"/>
      <c r="D77" s="8"/>
    </row>
    <row r="78" spans="1:4" ht="18" x14ac:dyDescent="0.25">
      <c r="A78" s="33">
        <v>74</v>
      </c>
      <c r="B78" s="60"/>
      <c r="C78" s="55"/>
      <c r="D78" s="8"/>
    </row>
    <row r="79" spans="1:4" ht="18" x14ac:dyDescent="0.25">
      <c r="A79" s="33">
        <v>75</v>
      </c>
      <c r="B79" s="60"/>
      <c r="C79" s="55"/>
      <c r="D79" s="8"/>
    </row>
    <row r="80" spans="1:4" ht="18" x14ac:dyDescent="0.25">
      <c r="A80" s="33">
        <v>76</v>
      </c>
      <c r="B80" s="60"/>
      <c r="C80" s="55"/>
      <c r="D80" s="8"/>
    </row>
    <row r="81" spans="1:4" ht="18" x14ac:dyDescent="0.25">
      <c r="A81" s="33">
        <v>77</v>
      </c>
      <c r="B81" s="60"/>
      <c r="C81" s="55"/>
      <c r="D81" s="8"/>
    </row>
    <row r="82" spans="1:4" ht="18" x14ac:dyDescent="0.25">
      <c r="A82" s="33">
        <v>78</v>
      </c>
      <c r="B82" s="60"/>
      <c r="C82" s="97"/>
      <c r="D82" s="8"/>
    </row>
    <row r="83" spans="1:4" ht="18" x14ac:dyDescent="0.25">
      <c r="A83" s="33">
        <v>79</v>
      </c>
      <c r="B83" s="60"/>
      <c r="C83" s="55"/>
      <c r="D83" s="8"/>
    </row>
    <row r="84" spans="1:4" ht="18" x14ac:dyDescent="0.25">
      <c r="A84" s="33">
        <v>80</v>
      </c>
      <c r="B84" s="60"/>
      <c r="C84" s="55"/>
      <c r="D84" s="8"/>
    </row>
    <row r="85" spans="1:4" ht="18" x14ac:dyDescent="0.25">
      <c r="A85" s="33">
        <v>81</v>
      </c>
      <c r="B85" s="60"/>
      <c r="C85" s="55"/>
      <c r="D85" s="8"/>
    </row>
    <row r="86" spans="1:4" ht="18" x14ac:dyDescent="0.25">
      <c r="A86" s="33">
        <v>82</v>
      </c>
      <c r="B86" s="60"/>
      <c r="C86" s="55"/>
      <c r="D86" s="8"/>
    </row>
    <row r="87" spans="1:4" ht="18" x14ac:dyDescent="0.25">
      <c r="A87" s="33">
        <v>83</v>
      </c>
      <c r="B87" s="60"/>
      <c r="C87" s="55"/>
      <c r="D87" s="8"/>
    </row>
    <row r="88" spans="1:4" ht="18" x14ac:dyDescent="0.25">
      <c r="A88" s="33">
        <v>84</v>
      </c>
      <c r="B88" s="60"/>
      <c r="C88" s="55"/>
      <c r="D88" s="8"/>
    </row>
    <row r="89" spans="1:4" ht="18" x14ac:dyDescent="0.25">
      <c r="A89" s="33">
        <v>85</v>
      </c>
      <c r="B89" s="60"/>
      <c r="C89" s="55"/>
      <c r="D89" s="8"/>
    </row>
    <row r="90" spans="1:4" ht="18" x14ac:dyDescent="0.25">
      <c r="A90" s="33">
        <v>86</v>
      </c>
      <c r="B90" s="60"/>
      <c r="C90" s="55"/>
      <c r="D90" s="8"/>
    </row>
    <row r="91" spans="1:4" ht="18" x14ac:dyDescent="0.25">
      <c r="A91" s="33">
        <v>87</v>
      </c>
      <c r="B91" s="60"/>
      <c r="C91" s="55"/>
      <c r="D91" s="8"/>
    </row>
    <row r="92" spans="1:4" ht="18" x14ac:dyDescent="0.25">
      <c r="A92" s="33">
        <v>88</v>
      </c>
      <c r="B92" s="60"/>
      <c r="C92" s="55"/>
      <c r="D92" s="8"/>
    </row>
    <row r="93" spans="1:4" ht="18" x14ac:dyDescent="0.25">
      <c r="A93" s="33">
        <v>89</v>
      </c>
      <c r="B93" s="60"/>
      <c r="C93" s="55"/>
      <c r="D93" s="8"/>
    </row>
    <row r="94" spans="1:4" ht="18" x14ac:dyDescent="0.25">
      <c r="A94" s="33">
        <v>90</v>
      </c>
      <c r="B94" s="60"/>
      <c r="C94" s="55"/>
      <c r="D94" s="8"/>
    </row>
    <row r="95" spans="1:4" ht="18" x14ac:dyDescent="0.25">
      <c r="A95" s="33">
        <v>91</v>
      </c>
      <c r="B95" s="60"/>
      <c r="C95" s="55"/>
      <c r="D95" s="8"/>
    </row>
    <row r="96" spans="1:4" ht="18" x14ac:dyDescent="0.25">
      <c r="A96" s="33">
        <v>92</v>
      </c>
      <c r="B96" s="60"/>
      <c r="C96" s="55"/>
      <c r="D96" s="8"/>
    </row>
    <row r="97" spans="1:4" ht="18" x14ac:dyDescent="0.25">
      <c r="A97" s="33">
        <v>93</v>
      </c>
      <c r="B97" s="60"/>
      <c r="C97" s="55"/>
      <c r="D97" s="8"/>
    </row>
    <row r="98" spans="1:4" ht="18" x14ac:dyDescent="0.25">
      <c r="A98" s="33">
        <v>94</v>
      </c>
      <c r="B98" s="60"/>
      <c r="C98" s="97"/>
      <c r="D98" s="8"/>
    </row>
    <row r="99" spans="1:4" ht="18" x14ac:dyDescent="0.25">
      <c r="A99" s="33">
        <v>95</v>
      </c>
      <c r="B99" s="60"/>
      <c r="C99" s="55"/>
      <c r="D99" s="8"/>
    </row>
    <row r="100" spans="1:4" ht="18" x14ac:dyDescent="0.25">
      <c r="A100" s="33">
        <v>96</v>
      </c>
      <c r="B100" s="60"/>
      <c r="C100" s="55"/>
      <c r="D100" s="8"/>
    </row>
    <row r="101" spans="1:4" ht="18" x14ac:dyDescent="0.25">
      <c r="A101" s="33">
        <v>97</v>
      </c>
      <c r="B101" s="60"/>
      <c r="C101" s="55"/>
      <c r="D101" s="8"/>
    </row>
    <row r="102" spans="1:4" ht="18" x14ac:dyDescent="0.25">
      <c r="A102" s="33">
        <v>98</v>
      </c>
      <c r="B102" s="60"/>
      <c r="C102" s="55"/>
      <c r="D102" s="8"/>
    </row>
    <row r="103" spans="1:4" ht="18" x14ac:dyDescent="0.25">
      <c r="A103" s="33">
        <v>99</v>
      </c>
      <c r="B103" s="60"/>
      <c r="C103" s="55"/>
      <c r="D103" s="8"/>
    </row>
    <row r="104" spans="1:4" ht="18" x14ac:dyDescent="0.25">
      <c r="A104" s="33">
        <v>100</v>
      </c>
      <c r="B104" s="60"/>
      <c r="C104" s="55"/>
      <c r="D104" s="8"/>
    </row>
    <row r="105" spans="1:4" ht="18" x14ac:dyDescent="0.25">
      <c r="B105" s="60"/>
      <c r="C105" s="55"/>
      <c r="D105" s="8"/>
    </row>
    <row r="106" spans="1:4" ht="18" x14ac:dyDescent="0.25">
      <c r="B106" s="60"/>
      <c r="C106" s="55"/>
      <c r="D106" s="8"/>
    </row>
    <row r="107" spans="1:4" ht="18" x14ac:dyDescent="0.25">
      <c r="B107" s="60"/>
      <c r="C107" s="55"/>
      <c r="D107" s="8"/>
    </row>
    <row r="108" spans="1:4" ht="18" x14ac:dyDescent="0.25">
      <c r="B108" s="60"/>
      <c r="C108" s="55"/>
      <c r="D108" s="8"/>
    </row>
    <row r="109" spans="1:4" ht="18" x14ac:dyDescent="0.25">
      <c r="B109" s="60"/>
      <c r="C109" s="55"/>
      <c r="D109" s="8"/>
    </row>
    <row r="110" spans="1:4" ht="18" x14ac:dyDescent="0.25">
      <c r="C110" s="55"/>
      <c r="D110" s="8"/>
    </row>
    <row r="111" spans="1:4" ht="18" x14ac:dyDescent="0.25">
      <c r="C111" s="55"/>
    </row>
    <row r="112" spans="1:4" ht="18" x14ac:dyDescent="0.25">
      <c r="C112" s="55"/>
    </row>
    <row r="113" spans="3:3" ht="18" x14ac:dyDescent="0.25">
      <c r="C113" s="55"/>
    </row>
    <row r="114" spans="3:3" ht="18" x14ac:dyDescent="0.25">
      <c r="C114" s="55"/>
    </row>
  </sheetData>
  <mergeCells count="1">
    <mergeCell ref="B2:N2"/>
  </mergeCells>
  <pageMargins left="0.7" right="0.7" top="0.75" bottom="0.75" header="0.3" footer="0.3"/>
  <pageSetup paperSize="9" orientation="landscape"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9"/>
  <sheetViews>
    <sheetView rightToLeft="1" workbookViewId="0">
      <selection activeCell="D17" sqref="D17"/>
    </sheetView>
  </sheetViews>
  <sheetFormatPr defaultRowHeight="14.25" x14ac:dyDescent="0.2"/>
  <sheetData>
    <row r="1" spans="1:2" x14ac:dyDescent="0.2">
      <c r="A1" t="s">
        <v>152</v>
      </c>
    </row>
    <row r="2" spans="1:2" x14ac:dyDescent="0.2">
      <c r="A2">
        <v>1</v>
      </c>
      <c r="B2" t="s">
        <v>147</v>
      </c>
    </row>
    <row r="3" spans="1:2" x14ac:dyDescent="0.2">
      <c r="A3">
        <v>2</v>
      </c>
      <c r="B3" t="s">
        <v>146</v>
      </c>
    </row>
    <row r="4" spans="1:2" x14ac:dyDescent="0.2">
      <c r="A4">
        <v>3</v>
      </c>
      <c r="B4" t="s">
        <v>144</v>
      </c>
    </row>
    <row r="5" spans="1:2" x14ac:dyDescent="0.2">
      <c r="A5">
        <v>4</v>
      </c>
      <c r="B5" t="s">
        <v>145</v>
      </c>
    </row>
    <row r="6" spans="1:2" x14ac:dyDescent="0.2">
      <c r="A6">
        <v>5</v>
      </c>
      <c r="B6" t="s">
        <v>148</v>
      </c>
    </row>
    <row r="7" spans="1:2" x14ac:dyDescent="0.2">
      <c r="A7">
        <v>6</v>
      </c>
      <c r="B7" t="s">
        <v>149</v>
      </c>
    </row>
    <row r="8" spans="1:2" x14ac:dyDescent="0.2">
      <c r="A8">
        <v>7</v>
      </c>
      <c r="B8" t="s">
        <v>150</v>
      </c>
    </row>
    <row r="9" spans="1:2" x14ac:dyDescent="0.2">
      <c r="A9">
        <v>8</v>
      </c>
      <c r="B9" t="s">
        <v>151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H6:K12"/>
  <sheetViews>
    <sheetView rightToLeft="1" workbookViewId="0">
      <selection activeCell="H13" sqref="H13"/>
    </sheetView>
  </sheetViews>
  <sheetFormatPr defaultRowHeight="14.25" x14ac:dyDescent="0.2"/>
  <sheetData>
    <row r="6" spans="8:11" x14ac:dyDescent="0.2">
      <c r="I6" t="s">
        <v>215</v>
      </c>
      <c r="J6" t="s">
        <v>214</v>
      </c>
    </row>
    <row r="7" spans="8:11" x14ac:dyDescent="0.2">
      <c r="H7" t="s">
        <v>187</v>
      </c>
      <c r="I7">
        <v>1200</v>
      </c>
    </row>
    <row r="8" spans="8:11" x14ac:dyDescent="0.2">
      <c r="H8" t="s">
        <v>147</v>
      </c>
      <c r="J8">
        <v>1434</v>
      </c>
    </row>
    <row r="9" spans="8:11" x14ac:dyDescent="0.2">
      <c r="H9" t="s">
        <v>216</v>
      </c>
      <c r="J9">
        <v>18</v>
      </c>
    </row>
    <row r="11" spans="8:11" x14ac:dyDescent="0.2">
      <c r="H11" t="s">
        <v>217</v>
      </c>
      <c r="I11">
        <f>SUM(I7:I10)</f>
        <v>1200</v>
      </c>
      <c r="J11">
        <f>SUM(J7:J10)</f>
        <v>1452</v>
      </c>
    </row>
    <row r="12" spans="8:11" x14ac:dyDescent="0.2">
      <c r="H12" t="s">
        <v>218</v>
      </c>
      <c r="K12">
        <f>J11-I11</f>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monthly_elctricity</vt:lpstr>
      <vt:lpstr>payments01</vt:lpstr>
      <vt:lpstr>payments02</vt:lpstr>
      <vt:lpstr>electricity</vt:lpstr>
      <vt:lpstr>Monthly_payments</vt:lpstr>
      <vt:lpstr>payments</vt:lpstr>
      <vt:lpstr>Apartment14</vt:lpstr>
      <vt:lpstr>Apartment12</vt:lpstr>
      <vt:lpstr>Apartment13</vt:lpstr>
      <vt:lpstr>Apartment11</vt:lpstr>
      <vt:lpstr>Apartment10</vt:lpstr>
      <vt:lpstr>Apartment9</vt:lpstr>
      <vt:lpstr>Apartment8</vt:lpstr>
      <vt:lpstr>Apartment7</vt:lpstr>
      <vt:lpstr>Apartment6</vt:lpstr>
      <vt:lpstr>Apartment5</vt:lpstr>
      <vt:lpstr>Apartment4</vt:lpstr>
      <vt:lpstr>Apartment3</vt:lpstr>
      <vt:lpstr>Apartment2</vt:lpstr>
      <vt:lpstr>Apartment1</vt:lpstr>
      <vt:lpstr>incomes</vt:lpstr>
      <vt:lpstr>balance</vt:lpstr>
      <vt:lpstr>outcomes</vt:lpstr>
      <vt:lpstr>op_codes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emachines</dc:creator>
  <cp:lastModifiedBy>almetr</cp:lastModifiedBy>
  <cp:lastPrinted>2021-07-10T04:21:31Z</cp:lastPrinted>
  <dcterms:created xsi:type="dcterms:W3CDTF">2020-01-08T13:12:36Z</dcterms:created>
  <dcterms:modified xsi:type="dcterms:W3CDTF">2026-10-22T04:56:25Z</dcterms:modified>
</cp:coreProperties>
</file>
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FE700AB7-43EA-4F64-9F51-98FA70394C9B}" xr6:coauthVersionLast="47" xr6:coauthVersionMax="47" xr10:uidLastSave="{00000000-0000-0000-0000-000000000000}"/>
  <bookViews>
    <workbookView xWindow="-120" yWindow="-120" windowWidth="20730" windowHeight="11160" tabRatio="947" firstSheet="2" activeTab="11"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<sst xmlns="http://schemas.openxmlformats.org/spreadsheetml/2006/main" count="878" uniqueCount="310">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</sst>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2">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9" t="s">
        <v>117</v>
      </c>
      <c r="D2" s="99"/>
      <c r="E2" s="99"/>
      <c r="F2" s="99"/>
      <c r="G2" s="99"/>
      <c r="H2" s="99"/>
      <c r="I2" s="99"/>
      <c r="J2" s="99"/>
      <c r="K2" s="99"/>
      <c r="L2" s="99"/>
      <c r="M2" s="99"/>
      <c r="N2" s="99"/>
      <c r="O2" s="99"/>
      <c r="P2" s="99"/>
      <c r="Q2" s="99"/>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1" t="s">
        <v>236</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1" t="s">
        <v>188</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9" t="s">
        <v>36</v>
      </c>
      <c r="C2" s="99"/>
      <c r="D2" s="99"/>
      <c r="E2" s="99"/>
      <c r="F2" s="99"/>
      <c r="G2" s="99"/>
      <c r="H2" s="99"/>
      <c r="I2" s="99"/>
      <c r="J2" s="99"/>
      <c r="K2" s="99"/>
      <c r="L2" s="99"/>
      <c r="M2" s="99"/>
      <c r="N2" s="99"/>
      <c r="O2" s="99"/>
      <c r="P2" s="99"/>
      <c r="Q2" s="99"/>
      <c r="R2" s="99"/>
      <c r="S2" s="99"/>
      <c r="T2" s="99"/>
      <c r="U2" s="99"/>
      <c r="V2" s="99"/>
      <c r="W2" s="99"/>
      <c r="X2" s="99"/>
      <c r="Y2" s="99"/>
      <c r="Z2" s="99"/>
      <c r="AA2" s="99"/>
      <c r="AB2" s="99"/>
      <c r="AC2" s="99"/>
      <c r="AD2" s="99"/>
      <c r="AE2" s="99"/>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2" t="s">
        <v>140</v>
      </c>
      <c r="D1" s="102"/>
      <c r="E1" s="102"/>
      <c r="F1" s="102"/>
      <c r="G1" s="102"/>
      <c r="H1" s="102"/>
      <c r="I1" s="102"/>
      <c r="J1" s="102"/>
      <c r="K1" s="102"/>
      <c r="L1" s="102"/>
      <c r="M1" s="102"/>
      <c r="N1" s="102"/>
      <c r="O1" s="102"/>
    </row>
    <row r="2" spans="1:20" ht="26.25" x14ac:dyDescent="0.4">
      <c r="B2" s="18"/>
      <c r="C2" s="99"/>
      <c r="D2" s="99"/>
      <c r="E2" s="99"/>
      <c r="F2" s="99"/>
      <c r="G2" s="99"/>
      <c r="H2" s="99"/>
      <c r="I2" s="99"/>
      <c r="J2" s="99"/>
      <c r="K2" s="99"/>
      <c r="L2" s="99"/>
      <c r="M2" s="99"/>
      <c r="N2" s="99"/>
      <c r="O2" s="99"/>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0</v>
      </c>
      <c r="K12" s="26">
        <f>Apartment9!D12</f>
        <v>150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150</v>
      </c>
      <c r="E13" s="26">
        <f>Apartment3!D13</f>
        <v>150</v>
      </c>
      <c r="F13" s="26">
        <f>Apartment4!D13</f>
        <v>150</v>
      </c>
      <c r="G13" s="26">
        <f>Apartment5!D13</f>
        <v>0</v>
      </c>
      <c r="H13" s="26">
        <f>Apartment6!D13</f>
        <v>300</v>
      </c>
      <c r="I13" s="26">
        <f>Apartment7!D13</f>
        <v>300</v>
      </c>
      <c r="J13" s="26">
        <f>Apartment8!D13</f>
        <v>0</v>
      </c>
      <c r="K13" s="26">
        <f>Apartment9!D13</f>
        <v>150</v>
      </c>
      <c r="L13" s="26">
        <f>Apartment10!D13</f>
        <v>150</v>
      </c>
      <c r="M13" s="26">
        <f>Apartment11!D13</f>
        <v>0</v>
      </c>
      <c r="N13" s="26">
        <f>Apartment12!D13</f>
        <v>250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150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9" t="s">
        <v>47</v>
      </c>
      <c r="D2" s="99"/>
      <c r="E2" s="99"/>
      <c r="F2" s="99"/>
      <c r="G2" s="99"/>
      <c r="H2" s="99"/>
      <c r="I2" s="99"/>
      <c r="J2" s="99"/>
      <c r="K2" s="99"/>
      <c r="L2" s="99"/>
      <c r="M2" s="99"/>
      <c r="N2" s="99"/>
    </row>
    <row r="3" spans="1:14" ht="18" x14ac:dyDescent="0.25">
      <c r="C3" s="83"/>
      <c r="G3" s="103" t="s">
        <v>94</v>
      </c>
      <c r="H3" s="103"/>
      <c r="I3" s="103"/>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1050</v>
      </c>
      <c r="D5" s="92"/>
      <c r="E5" s="94">
        <f>D5-C5</f>
        <v>-1050</v>
      </c>
      <c r="F5" s="2" t="s">
        <v>50</v>
      </c>
      <c r="G5" s="91"/>
      <c r="H5" s="92"/>
      <c r="I5" s="94">
        <f>H5-G5</f>
        <v>0</v>
      </c>
      <c r="J5" s="2"/>
    </row>
    <row r="6" spans="1:14" ht="18" x14ac:dyDescent="0.25">
      <c r="A6" s="8">
        <v>2</v>
      </c>
      <c r="B6" s="20">
        <v>2</v>
      </c>
      <c r="C6" s="91">
        <f>Apartment2!D4</f>
        <v>825</v>
      </c>
      <c r="D6" s="92"/>
      <c r="E6" s="94">
        <f t="shared" ref="E6:E18" si="0">D6-C6</f>
        <v>-825</v>
      </c>
      <c r="F6" s="2" t="s">
        <v>51</v>
      </c>
      <c r="G6" s="91"/>
      <c r="H6" s="92"/>
      <c r="I6" s="94">
        <f t="shared" ref="I6:I18" si="1">H6-G6</f>
        <v>0</v>
      </c>
      <c r="J6" s="2"/>
    </row>
    <row r="7" spans="1:14" ht="18" x14ac:dyDescent="0.25">
      <c r="A7" s="8">
        <v>3</v>
      </c>
      <c r="B7" s="20">
        <v>3</v>
      </c>
      <c r="C7" s="91">
        <f>Apartment3!D4</f>
        <v>1200</v>
      </c>
      <c r="D7" s="92"/>
      <c r="E7" s="94">
        <f t="shared" si="0"/>
        <v>-1200</v>
      </c>
      <c r="F7" s="2" t="s">
        <v>48</v>
      </c>
      <c r="G7" s="91"/>
      <c r="H7" s="92"/>
      <c r="I7" s="94">
        <f t="shared" si="1"/>
        <v>0</v>
      </c>
      <c r="J7" s="2"/>
    </row>
    <row r="8" spans="1:14" ht="18" x14ac:dyDescent="0.25">
      <c r="A8" s="8">
        <v>4</v>
      </c>
      <c r="B8" s="20">
        <v>4</v>
      </c>
      <c r="C8" s="91">
        <f>Apartment4!D4</f>
        <v>1200</v>
      </c>
      <c r="D8" s="92"/>
      <c r="E8" s="94">
        <f t="shared" si="0"/>
        <v>-1200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2400</v>
      </c>
      <c r="D11" s="92"/>
      <c r="E11" s="94">
        <f t="shared" si="0"/>
        <v>-2400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9" t="s">
        <v>21</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20</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9" t="s">
        <v>114</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4" t="s">
        <v>118</v>
      </c>
      <c r="J20" s="104"/>
      <c r="K20" s="104"/>
      <c r="L20" s="104"/>
      <c r="M20" s="104"/>
      <c r="N20" s="104"/>
    </row>
    <row r="21" spans="1:17" ht="23.25" x14ac:dyDescent="0.35">
      <c r="A21" s="8"/>
      <c r="B21" s="8"/>
      <c r="C21" s="51"/>
      <c r="D21" s="33"/>
      <c r="E21" s="8"/>
      <c r="F21" s="8"/>
      <c r="G21" s="8"/>
      <c r="H21" s="2"/>
      <c r="I21" s="104" t="s">
        <v>238</v>
      </c>
      <c r="J21" s="104"/>
      <c r="K21" s="104"/>
      <c r="L21" s="104"/>
      <c r="M21" s="104"/>
      <c r="N21" s="104"/>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5"/>
      <c r="K23" s="105"/>
      <c r="L23" s="105"/>
      <c r="M23" s="105"/>
      <c r="N23" s="105"/>
      <c r="O23" s="105"/>
      <c r="P23" s="105"/>
    </row>
    <row r="24" spans="1:17" ht="18" x14ac:dyDescent="0.25">
      <c r="A24" s="8"/>
      <c r="B24" s="8"/>
      <c r="C24" s="51"/>
      <c r="D24" s="33"/>
      <c r="E24" s="8"/>
      <c r="F24" s="8"/>
      <c r="G24" s="8">
        <v>1</v>
      </c>
      <c r="H24" s="8"/>
      <c r="I24" s="8"/>
      <c r="J24" s="105"/>
      <c r="K24" s="105"/>
      <c r="L24" s="105"/>
      <c r="M24" s="105"/>
      <c r="N24" s="105"/>
      <c r="O24" s="105"/>
      <c r="P24" s="105"/>
    </row>
    <row r="25" spans="1:17" ht="36" customHeight="1" x14ac:dyDescent="0.25">
      <c r="A25" s="8"/>
      <c r="B25" s="8"/>
      <c r="C25" s="51"/>
      <c r="D25" s="33"/>
      <c r="E25" s="8"/>
      <c r="F25" s="8"/>
      <c r="G25" s="48">
        <v>2</v>
      </c>
      <c r="H25" s="48"/>
      <c r="I25" s="48"/>
      <c r="J25" s="105"/>
      <c r="K25" s="105"/>
      <c r="L25" s="105"/>
      <c r="M25" s="105"/>
      <c r="N25" s="105"/>
      <c r="O25" s="105"/>
      <c r="P25" s="105"/>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22</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9" t="s">
        <v>23</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abSelected="1" topLeftCell="B1" workbookViewId="0">
      <selection activeCell="C12" sqref="C12:C14"/>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9" t="s">
        <v>24</v>
      </c>
      <c r="D2" s="99"/>
      <c r="E2" s="99"/>
      <c r="F2" s="99"/>
      <c r="G2" s="99"/>
      <c r="H2" s="99"/>
      <c r="I2" s="99"/>
      <c r="J2" s="99"/>
      <c r="K2" s="99"/>
      <c r="L2" s="99"/>
      <c r="M2" s="99"/>
      <c r="N2" s="99"/>
      <c r="O2" s="99"/>
      <c r="P2" s="99"/>
      <c r="Q2" s="99"/>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6" t="s">
        <v>77</v>
      </c>
      <c r="S5" s="107"/>
      <c r="T5" s="107"/>
      <c r="U5" s="108"/>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09"/>
      <c r="S12" s="110"/>
      <c r="T12" s="110"/>
      <c r="U12" s="111"/>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115</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C14" sqref="C14"/>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9" t="s">
        <v>25</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2400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9" t="s">
        <v>116</v>
      </c>
      <c r="D2" s="99"/>
      <c r="E2" s="99"/>
      <c r="F2" s="99"/>
      <c r="G2" s="99"/>
      <c r="H2" s="99"/>
      <c r="I2" s="99"/>
      <c r="J2" s="99"/>
      <c r="K2" s="99"/>
      <c r="L2" s="99"/>
      <c r="M2" s="99"/>
      <c r="N2" s="99"/>
      <c r="O2" s="99"/>
      <c r="P2" s="99"/>
      <c r="Q2" s="99"/>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4" sqref="C14"/>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28</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1200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4" sqref="C14"/>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9" t="s">
        <v>27</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1200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C13" sqref="C13"/>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9" t="s">
        <v>29</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825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10" sqref="D10:D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16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68" workbookViewId="0">
      <selection activeCell="B75" sqref="B75"/>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16675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9" t="s">
        <v>13</v>
      </c>
      <c r="C2" s="99"/>
      <c r="D2" s="99"/>
      <c r="E2" s="99"/>
      <c r="F2" s="99"/>
      <c r="G2" s="99"/>
      <c r="H2" s="99"/>
      <c r="I2" s="99"/>
      <c r="J2" s="99"/>
      <c r="K2" s="99"/>
      <c r="L2" s="99"/>
      <c r="M2" s="99"/>
      <c r="N2" s="99"/>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16675</v>
      </c>
      <c r="D5" s="71">
        <f>outcomes!C3</f>
        <v>19601</v>
      </c>
      <c r="E5" s="72">
        <f>(C3+C5)-D5</f>
        <v>10976</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25" workbookViewId="0">
      <selection activeCell="D42" sqref="D42"/>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9" t="s">
        <v>10</v>
      </c>
      <c r="C2" s="99"/>
      <c r="D2" s="99"/>
      <c r="E2" s="99"/>
      <c r="F2" s="99"/>
      <c r="G2" s="99"/>
      <c r="H2" s="99"/>
      <c r="I2" s="99"/>
      <c r="J2" s="99"/>
      <c r="K2" s="99"/>
      <c r="L2" s="99"/>
      <c r="M2" s="99"/>
      <c r="N2" s="99"/>
    </row>
    <row r="3" spans="1:19" ht="18" x14ac:dyDescent="0.25">
      <c r="B3" s="58" t="s">
        <v>12</v>
      </c>
      <c r="C3" s="53">
        <f>SUM(C5:C2002)</f>
        <v>19601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2026-08-27T05:35:52Z</dcterms:modified>
</cp:coreProperties>
</file>
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701"/>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487DBD85-57FE-415E-8B54-F60F7ADC6A33}" xr6:coauthVersionLast="47" xr6:coauthVersionMax="47" xr10:uidLastSave="{00000000-0000-0000-0000-000000000000}"/>
  <bookViews>
    <workbookView xWindow="-120" yWindow="-120" windowWidth="20730" windowHeight="11160" tabRatio="947" firstSheet="12"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<sst xmlns="http://schemas.openxmlformats.org/spreadsheetml/2006/main" count="717" uniqueCount="249">
  <si>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</si>
  <si>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</si>
  <si>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</si>
  <si>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</si>
  <si>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</si>
  <si>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</si>
  <si>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</si>
  <si>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</si>
  <si>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</si>
  <si>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</si>
  <si>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</si>
  <si>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</si>
  <si>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</si>
  <si>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</si>
  <si>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</si>
  <si>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</si>
  <si>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</si>
  <si>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</si>
  <si>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</si>
  <si>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</si>
  <si>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</si>
  <si>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</si>
  <si>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</si>
  <si>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</si>
  <si>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</si>
  <si>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</si>
  <si>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</si>
  <si>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</si>
  <si>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</si>
  <si>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</si>
  <si>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</si>
  <si>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</si>
  <si>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</si>
  <si>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</si>
  <si>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</si>
  <si>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</si>
  <si>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</si>
  <si>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</si>
  <si>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</si>
  <si>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</si>
  <si>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</si>
  <si>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</si>
  <si>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</si>
  <si>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</si>
  <si>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</si>
  <si>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</si>
  <si>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</si>
  <si>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</si>
  <si>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</si>
  <si>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</si>
  <si>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</si>
  <si>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</si>
  <si>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</si>
  <si>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</si>
  <si>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</si>
  <si>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</si>
  <si>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</si>
  <si>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</si>
  <si>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</si>
  <si>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</si>
  <si>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</si>
  <si>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</si>
  <si>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</si>
  <si>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</si>
  <si>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</si>
  <si>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</si>
  <si>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</si>
  <si>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</si>
  <si>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</si>
  <si>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</si>
  <si>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</si>
  <si>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</si>
  <si>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</si>
  <si>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</si>
  <si>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</si>
  <si>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</si>
  <si>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</si>
  <si>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</si>
  <si>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</si>
  <si>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</si>
  <si>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</si>
  <si>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</si>
  <si>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</si>
  <si>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</si>
  <si>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</si>
  <si>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</si>
  <si>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</si>
  <si>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</si>
  <si>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</si>
  <si>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</si>
  <si>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</si>
  <si>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</si>
  <si>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</si>
  <si>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</si>
  <si>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</si>
  <si>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</si>
  <si>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</si>
  <si>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</si>
  <si>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</si>
  <si>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</si>
  <si>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</si>
  <si>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</si>
  <si>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</si>
  <si>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</si>
  <si>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</si>
  <si>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</si>
  <si>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</si>
  <si>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</si>
  <si>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</si>
  <si>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</si>
  <si>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</si>
  <si>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</si>
  <si>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</si>
  <si>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</si>
  <si>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</si>
  <si>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</si>
  <si>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</si>
  <si>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</si>
  <si>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</si>
  <si>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</si>
  <si>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</si>
  <si>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</si>
  <si>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</si>
  <si>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</si>
  <si>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</si>
  <si>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</si>
  <si>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</si>
  <si>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</si>
  <si>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</si>
  <si>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</si>
  <si>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</si>
  <si>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</si>
  <si>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</si>
  <si>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</si>
  <si>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</si>
  <si>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</si>
  <si>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</si>
  <si>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</si>
  <si>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</si>
  <si>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</si>
  <si>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</si>
  <si>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</si>
  <si>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</si>
  <si>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</si>
  <si>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</si>
  <si>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</si>
  <si>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</si>
  <si>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</si>
  <si>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</si>
  <si>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</si>
  <si>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</si>
  <si>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</si>
  <si>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</si>
  <si>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</si>
  <si>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</si>
  <si>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</si>
  <si>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</si>
  <si>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</si>
  <si>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</si>
  <si>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</si>
  <si>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</si>
  <si>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</si>
  <si>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</si>
  <si>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</si>
  <si>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</si>
  <si>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</si>
  <si>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</si>
  <si>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</si>
  <si>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</si>
  <si>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</si>
  <si>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</si>
  <si>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</si>
  <si>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</si>
  <si>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</si>
  <si>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</si>
  <si>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</si>
  <si>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</si>
  <si>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</si>
  <si>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</si>
  <si>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</si>
  <si>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</si>
  <si>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</si>
  <si>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</si>
  <si>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</si>
  <si>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</si>
  <si>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</si>
  <si>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</si>
  <si>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</si>
  <si>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</si>
  <si>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</si>
  <si>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</si>
  <si>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</si>
  <si>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</si>
  <si>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</si>
  <si>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</si>
  <si>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</si>
  <si>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</si>
  <si>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</si>
  <si>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</si>
  <si>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</si>
  <si>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</si>
  <si>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</si>
  <si>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</si>
  <si>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</si>
  <si>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</si>
  <si>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</si>
  <si>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</si>
  <si>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</si>
  <si>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</si>
  <si>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</si>
  <si>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</si>
  <si>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</si>
  <si>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</si>
  <si>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</si>
  <si>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</si>
  <si>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</si>
  <si>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</si>
  <si>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</si>
  <si>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</si>
  <si>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</si>
  <si>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</si>
  <si>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</si>
  <si>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</si>
  <si>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</si>
  <si>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</si>
  <si>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</si>
  <si>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</si>
  <si>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</si>
  <si>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</si>
  <si>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</si>
  <si>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</si>
  <si>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</si>
  <si>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</si>
  <si>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</si>
  <si>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</si>
  <si>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</si>
  <si>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</si>
  <si>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</si>
  <si>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</si>
  <si>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</si>
  <si>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</si>
  <si>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</si>
  <si>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</si>
  <si>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</si>
  <si>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تحت حساب صيانة شهر ديسمبر /2025</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</si>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</sst>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5" x14ac:dyDescent="0.2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10" max="10" width="14.5703125" style="19" customWidth="1"/>
    <col min="11" max="11" width="9.140625" style="19"/>
  </cols>
  <sheetData>
    <row r="2" spans="1:17" ht="26.25" x14ac:dyDescent="0.4">
      <c r="C2" s="98" t="s">
        <v>117</v>
      </c>
      <c r="D2" s="98"/>
      <c r="E2" s="98"/>
      <c r="F2" s="98"/>
      <c r="G2" s="98"/>
      <c r="H2" s="98"/>
      <c r="I2" s="98"/>
      <c r="J2" s="98"/>
      <c r="K2" s="98"/>
      <c r="L2" s="98"/>
      <c r="M2" s="98"/>
      <c r="N2" s="98"/>
      <c r="O2" s="98"/>
      <c r="P2" s="98"/>
      <c r="Q2" s="98"/>
    </row>
    <row r="3" spans="1:17" ht="57.75" x14ac:dyDescent="0.4">
      <c r="C3" s="1"/>
      <c r="D3" s="18" t="s">
        <v>14</v>
      </c>
      <c r="E3" s="18"/>
      <c r="F3" s="18"/>
      <c r="G3" s="1"/>
      <c r="H3" s="1"/>
      <c r="I3" s="1"/>
      <c r="J3" s="84"/>
      <c r="K3" s="87" t="s">
        <v>14</v>
      </c>
      <c r="L3" s="18"/>
      <c r="M3" s="1"/>
      <c r="N3" s="1"/>
      <c r="O3" s="1"/>
      <c r="P3" s="1"/>
      <c r="Q3" s="1"/>
    </row>
    <row r="4" spans="1:17" ht="18.75" x14ac:dyDescent="0.3">
      <c r="C4" s="10"/>
      <c r="D4" s="11">
        <f>SUM(D6:D2001)</f>
        <v>9314</v>
      </c>
      <c r="E4" s="11"/>
      <c r="F4" s="11"/>
      <c r="J4" s="85"/>
      <c r="K4" s="88">
        <f>SUM(K6:K2001)</f>
        <v>6291.5</v>
      </c>
      <c r="L4" s="11"/>
    </row>
    <row r="5" spans="1:17" ht="56.25" x14ac:dyDescent="0.25">
      <c r="A5" s="4" t="s">
        <v>7</v>
      </c>
      <c r="B5" s="4" t="s">
        <v>17</v>
      </c>
      <c r="C5" s="6" t="s">
        <v>1</v>
      </c>
      <c r="D5" s="4" t="s">
        <v>2</v>
      </c>
      <c r="E5" s="4" t="s">
        <v>4</v>
      </c>
      <c r="F5" s="4"/>
      <c r="G5" s="4"/>
      <c r="H5" s="5"/>
      <c r="I5" s="5"/>
      <c r="J5" s="6" t="s">
        <v>1</v>
      </c>
      <c r="K5" s="4" t="s">
        <v>2</v>
      </c>
      <c r="L5" s="4" t="s">
        <v>4</v>
      </c>
      <c r="M5" s="5"/>
    </row>
    <row r="6" spans="1:17" ht="18.75" x14ac:dyDescent="0.3">
      <c r="A6" s="8">
        <v>1</v>
      </c>
      <c r="B6" s="73">
        <v>1</v>
      </c>
      <c r="C6" s="60">
        <v>44939</v>
      </c>
      <c r="D6" s="55">
        <v>223</v>
      </c>
      <c r="E6" s="8" t="s">
        <v>121</v>
      </c>
      <c r="F6" s="73"/>
      <c r="G6" s="8"/>
      <c r="H6" s="2"/>
      <c r="I6" s="2"/>
      <c r="J6" s="60">
        <v>44947</v>
      </c>
      <c r="K6" s="55">
        <v>662</v>
      </c>
      <c r="L6" s="8" t="s">
        <v>122</v>
      </c>
      <c r="M6" s="2"/>
    </row>
    <row r="7" spans="1:17" ht="18.75" x14ac:dyDescent="0.3">
      <c r="A7" s="8">
        <v>2</v>
      </c>
      <c r="B7" s="73">
        <v>2</v>
      </c>
      <c r="C7" s="60">
        <v>44970</v>
      </c>
      <c r="D7" s="55">
        <v>613</v>
      </c>
      <c r="E7" s="8" t="s">
        <v>123</v>
      </c>
      <c r="F7" s="73"/>
      <c r="G7" s="8"/>
      <c r="H7" s="2"/>
      <c r="I7" s="2"/>
      <c r="J7" s="60">
        <v>44985</v>
      </c>
      <c r="K7" s="55">
        <v>662</v>
      </c>
      <c r="L7" s="8" t="s">
        <v>124</v>
      </c>
      <c r="M7" s="2"/>
    </row>
    <row r="8" spans="1:17" ht="18.75" x14ac:dyDescent="0.3">
      <c r="A8" s="8">
        <v>3</v>
      </c>
      <c r="B8" s="73">
        <v>3</v>
      </c>
      <c r="C8" s="60">
        <v>44998</v>
      </c>
      <c r="D8" s="55">
        <v>919</v>
      </c>
      <c r="E8" s="8" t="s">
        <v>125</v>
      </c>
      <c r="F8" s="73"/>
      <c r="G8" s="8"/>
      <c r="H8" s="2"/>
      <c r="I8" s="2"/>
      <c r="J8" s="77"/>
      <c r="K8" s="81"/>
      <c r="L8" s="8"/>
      <c r="M8" s="2"/>
    </row>
    <row r="9" spans="1:17" ht="18.75" x14ac:dyDescent="0.3">
      <c r="A9" s="8">
        <v>4</v>
      </c>
      <c r="B9" s="73">
        <v>4</v>
      </c>
      <c r="C9" s="60">
        <v>45029</v>
      </c>
      <c r="D9" s="55">
        <v>941</v>
      </c>
      <c r="E9" s="8" t="s">
        <v>126</v>
      </c>
      <c r="F9" s="73"/>
      <c r="G9" s="8"/>
      <c r="H9" s="2"/>
      <c r="I9" s="2"/>
      <c r="J9" s="60">
        <v>45026</v>
      </c>
      <c r="K9" s="55">
        <v>1324</v>
      </c>
      <c r="L9" s="8" t="s">
        <v>127</v>
      </c>
      <c r="M9" s="2"/>
    </row>
    <row r="10" spans="1:17" ht="18.75" x14ac:dyDescent="0.3">
      <c r="A10" s="8">
        <v>5</v>
      </c>
      <c r="B10" s="73">
        <v>5</v>
      </c>
      <c r="C10" s="60">
        <v>45061</v>
      </c>
      <c r="D10" s="55">
        <v>687</v>
      </c>
      <c r="E10" s="8" t="s">
        <v>128</v>
      </c>
      <c r="F10" s="73"/>
      <c r="G10" s="8"/>
      <c r="H10" s="2"/>
      <c r="I10" s="2"/>
      <c r="J10" s="60">
        <v>45068</v>
      </c>
      <c r="K10" s="55">
        <v>277.5</v>
      </c>
      <c r="L10" s="8" t="s">
        <v>129</v>
      </c>
      <c r="M10" s="2"/>
    </row>
    <row r="11" spans="1:17" ht="18.75" x14ac:dyDescent="0.3">
      <c r="A11" s="8">
        <v>6</v>
      </c>
      <c r="B11" s="73">
        <v>6</v>
      </c>
      <c r="C11" s="60">
        <v>45092</v>
      </c>
      <c r="D11" s="55">
        <v>543</v>
      </c>
      <c r="E11" s="8" t="s">
        <v>130</v>
      </c>
      <c r="F11" s="73"/>
      <c r="G11" s="8"/>
      <c r="H11" s="2"/>
      <c r="I11" s="2"/>
      <c r="J11" s="60">
        <v>45082</v>
      </c>
      <c r="K11" s="55">
        <v>551</v>
      </c>
      <c r="L11" s="8" t="s">
        <v>131</v>
      </c>
      <c r="M11" s="2"/>
    </row>
    <row r="12" spans="1:17" ht="18.75" x14ac:dyDescent="0.3">
      <c r="A12" s="8">
        <v>7</v>
      </c>
      <c r="B12" s="73">
        <v>7</v>
      </c>
      <c r="C12" s="60">
        <v>45122</v>
      </c>
      <c r="D12" s="55">
        <v>889</v>
      </c>
      <c r="E12" s="8" t="s">
        <v>132</v>
      </c>
      <c r="F12" s="73"/>
      <c r="G12" s="8"/>
      <c r="H12" s="2"/>
      <c r="I12" s="2"/>
      <c r="J12" s="77"/>
      <c r="K12" s="81"/>
      <c r="L12" s="8"/>
      <c r="M12" s="2"/>
    </row>
    <row r="13" spans="1:17" ht="18.75" x14ac:dyDescent="0.3">
      <c r="A13" s="8">
        <v>8</v>
      </c>
      <c r="B13" s="73">
        <v>8</v>
      </c>
      <c r="C13" s="60">
        <v>45158</v>
      </c>
      <c r="D13" s="55">
        <v>860</v>
      </c>
      <c r="E13" s="8" t="s">
        <v>133</v>
      </c>
      <c r="F13" s="73"/>
      <c r="G13" s="8"/>
      <c r="H13" s="2"/>
      <c r="I13" s="2"/>
      <c r="J13" s="77"/>
      <c r="K13" s="81"/>
      <c r="L13" s="8"/>
      <c r="M13" s="2"/>
    </row>
    <row r="14" spans="1:17" ht="18.75" x14ac:dyDescent="0.3">
      <c r="A14" s="8">
        <v>9</v>
      </c>
      <c r="B14" s="73">
        <v>9</v>
      </c>
      <c r="C14" s="60">
        <v>45184</v>
      </c>
      <c r="D14" s="55">
        <v>910</v>
      </c>
      <c r="E14" s="8" t="s">
        <v>134</v>
      </c>
      <c r="F14" s="73"/>
      <c r="G14" s="8"/>
      <c r="H14" s="2"/>
      <c r="I14" s="2"/>
      <c r="J14" s="77"/>
      <c r="K14" s="81"/>
      <c r="L14" s="8"/>
      <c r="M14" s="2"/>
    </row>
    <row r="15" spans="1:17" ht="18.75" x14ac:dyDescent="0.3">
      <c r="A15" s="8">
        <v>10</v>
      </c>
      <c r="B15" s="73">
        <v>10</v>
      </c>
      <c r="C15" s="60">
        <v>45224</v>
      </c>
      <c r="D15" s="55">
        <v>1023</v>
      </c>
      <c r="E15" s="8" t="s">
        <v>135</v>
      </c>
      <c r="F15" s="73"/>
      <c r="G15" s="8"/>
      <c r="H15" s="2"/>
      <c r="I15" s="2"/>
      <c r="J15" s="77"/>
      <c r="K15" s="81"/>
      <c r="L15" s="8"/>
      <c r="M15" s="2"/>
    </row>
    <row r="16" spans="1:17" ht="18.75" x14ac:dyDescent="0.3">
      <c r="A16" s="8">
        <v>11</v>
      </c>
      <c r="B16" s="73">
        <v>11</v>
      </c>
      <c r="C16" s="60">
        <v>45245</v>
      </c>
      <c r="D16" s="55">
        <v>1022</v>
      </c>
      <c r="E16" s="8" t="s">
        <v>136</v>
      </c>
      <c r="F16" s="73"/>
      <c r="G16" s="8"/>
      <c r="H16" s="2"/>
      <c r="I16" s="2"/>
      <c r="J16" s="60">
        <v>45249</v>
      </c>
      <c r="K16" s="55">
        <v>2345</v>
      </c>
      <c r="L16" s="8" t="s">
        <v>137</v>
      </c>
      <c r="M16" s="2"/>
    </row>
    <row r="17" spans="1:13" ht="18.75" x14ac:dyDescent="0.3">
      <c r="A17" s="8">
        <v>12</v>
      </c>
      <c r="B17" s="73">
        <v>12</v>
      </c>
      <c r="C17" s="60">
        <v>45275</v>
      </c>
      <c r="D17" s="55">
        <v>684</v>
      </c>
      <c r="E17" s="8" t="s">
        <v>138</v>
      </c>
      <c r="F17" s="73"/>
      <c r="G17" s="8"/>
      <c r="H17" s="2"/>
      <c r="I17" s="2"/>
      <c r="J17" s="60">
        <v>45281</v>
      </c>
      <c r="K17" s="55">
        <v>470</v>
      </c>
      <c r="L17" s="8" t="s">
        <v>139</v>
      </c>
      <c r="M17" s="2"/>
    </row>
    <row r="18" spans="1:13" ht="18.75" x14ac:dyDescent="0.3">
      <c r="A18" s="8"/>
      <c r="B18" s="8"/>
      <c r="C18" s="9"/>
      <c r="D18" s="8"/>
      <c r="E18" s="8"/>
      <c r="F18" s="8"/>
      <c r="G18" s="8"/>
      <c r="H18" s="2"/>
      <c r="I18" s="2"/>
      <c r="J18" s="86"/>
      <c r="K18" s="86"/>
      <c r="L18" s="2"/>
      <c r="M18" s="2"/>
    </row>
    <row r="19" spans="1:13" ht="18.75" x14ac:dyDescent="0.3">
      <c r="A19" s="8"/>
      <c r="B19" s="8"/>
      <c r="C19" s="9"/>
      <c r="D19" s="8"/>
      <c r="E19" s="8"/>
      <c r="F19" s="8"/>
      <c r="G19" s="8"/>
      <c r="H19" s="2"/>
      <c r="I19" s="2"/>
      <c r="J19" s="86"/>
      <c r="K19" s="86"/>
      <c r="L19" s="2"/>
      <c r="M19" s="2"/>
    </row>
    <row r="20" spans="1:13" ht="18.75" x14ac:dyDescent="0.3">
      <c r="A20" s="8"/>
      <c r="B20" s="8"/>
      <c r="C20" s="9"/>
      <c r="D20" s="8"/>
      <c r="E20" s="8"/>
      <c r="F20" s="8"/>
      <c r="G20" s="8"/>
      <c r="H20" s="2"/>
      <c r="I20" s="2"/>
      <c r="J20" s="86"/>
      <c r="K20" s="86"/>
      <c r="L20" s="2"/>
      <c r="M20" s="2"/>
    </row>
    <row r="21" spans="1:13" ht="18.75" x14ac:dyDescent="0.3">
      <c r="A21" s="8"/>
      <c r="B21" s="8"/>
      <c r="C21" s="9"/>
      <c r="D21" s="8"/>
      <c r="E21" s="8"/>
      <c r="F21" s="8"/>
      <c r="G21" s="8"/>
      <c r="H21" s="2"/>
      <c r="I21" s="2"/>
      <c r="J21" s="86"/>
      <c r="K21" s="86"/>
      <c r="L21" s="2"/>
      <c r="M21" s="2"/>
    </row>
    <row r="22" spans="1:13" ht="18.75" x14ac:dyDescent="0.3">
      <c r="A22" s="8"/>
      <c r="B22" s="8"/>
      <c r="C22" s="9"/>
      <c r="D22" s="8"/>
      <c r="E22" s="8"/>
      <c r="F22" s="8"/>
      <c r="G22" s="8"/>
      <c r="H22" s="2"/>
      <c r="I22" s="2"/>
      <c r="J22" s="86"/>
      <c r="K22" s="86"/>
      <c r="L22" s="2"/>
      <c r="M22" s="2"/>
    </row>
    <row r="23" spans="1:13" ht="18.75" x14ac:dyDescent="0.3">
      <c r="A23" s="8"/>
      <c r="B23" s="8"/>
      <c r="C23" s="9"/>
      <c r="D23" s="8"/>
      <c r="E23" s="8"/>
      <c r="F23" s="8"/>
      <c r="G23" s="8"/>
      <c r="H23" s="2"/>
      <c r="I23" s="2"/>
      <c r="J23" s="86"/>
      <c r="K23" s="86"/>
      <c r="L23" s="2"/>
      <c r="M23" s="2"/>
    </row>
    <row r="24" spans="1:13" ht="18.75" x14ac:dyDescent="0.3">
      <c r="A24" s="8"/>
      <c r="B24" s="8"/>
      <c r="C24" s="9"/>
      <c r="D24" s="8"/>
      <c r="E24" s="8"/>
      <c r="F24" s="8"/>
      <c r="G24" s="8"/>
      <c r="H24" s="2"/>
      <c r="I24" s="2"/>
      <c r="J24" s="86"/>
      <c r="K24" s="86"/>
      <c r="L24" s="2"/>
      <c r="M24" s="2"/>
    </row>
    <row r="25" spans="1:13" ht="18.75" x14ac:dyDescent="0.3">
      <c r="A25" s="8"/>
      <c r="B25" s="8"/>
      <c r="C25" s="9"/>
      <c r="D25" s="8"/>
      <c r="E25" s="8"/>
      <c r="F25" s="8"/>
      <c r="G25" s="8"/>
      <c r="H25" s="2"/>
      <c r="I25" s="2"/>
      <c r="J25" s="86"/>
      <c r="K25" s="86"/>
      <c r="L25" s="2"/>
      <c r="M25" s="2"/>
    </row>
    <row r="26" spans="1:13" ht="18.75" x14ac:dyDescent="0.3">
      <c r="A26" s="8"/>
      <c r="B26" s="8"/>
      <c r="C26" s="9"/>
      <c r="D26" s="8"/>
      <c r="E26" s="8"/>
      <c r="F26" s="8"/>
      <c r="G26" s="8"/>
      <c r="H26" s="2"/>
      <c r="I26" s="2"/>
      <c r="J26" s="86"/>
      <c r="K26" s="86"/>
      <c r="L26" s="2"/>
      <c r="M26" s="2"/>
    </row>
    <row r="27" spans="1:13" ht="18.75" x14ac:dyDescent="0.3">
      <c r="A27" s="8"/>
      <c r="B27" s="8"/>
      <c r="C27" s="9"/>
      <c r="D27" s="8"/>
      <c r="E27" s="8"/>
      <c r="F27" s="8"/>
      <c r="G27" s="8"/>
      <c r="H27" s="2"/>
      <c r="I27" s="2"/>
      <c r="J27" s="86"/>
      <c r="K27" s="86"/>
      <c r="L27" s="2"/>
      <c r="M27" s="2"/>
    </row>
    <row r="28" spans="1:13" ht="18.75" x14ac:dyDescent="0.3">
      <c r="A28" s="8"/>
      <c r="B28" s="8"/>
      <c r="C28" s="9"/>
      <c r="D28" s="8"/>
      <c r="E28" s="8"/>
      <c r="F28" s="8"/>
      <c r="G28" s="8"/>
      <c r="H28" s="2"/>
      <c r="I28" s="2"/>
      <c r="J28" s="86"/>
      <c r="K28" s="86"/>
      <c r="L28" s="2"/>
      <c r="M28" s="2"/>
    </row>
    <row r="29" spans="1:13" ht="18.75" x14ac:dyDescent="0.3">
      <c r="A29" s="8"/>
      <c r="B29" s="8"/>
      <c r="C29" s="9"/>
      <c r="D29" s="8"/>
      <c r="E29" s="8"/>
      <c r="F29" s="8"/>
      <c r="G29" s="8"/>
      <c r="H29" s="2"/>
      <c r="I29" s="2"/>
      <c r="J29" s="86"/>
      <c r="K29" s="86"/>
      <c r="L29" s="2"/>
      <c r="M29" s="2"/>
    </row>
    <row r="30" spans="1:13" ht="18.75" x14ac:dyDescent="0.3">
      <c r="A30" s="8"/>
      <c r="B30" s="8"/>
      <c r="C30" s="9"/>
      <c r="D30" s="8"/>
      <c r="E30" s="8"/>
      <c r="F30" s="8"/>
      <c r="G30" s="8"/>
      <c r="H30" s="2"/>
      <c r="I30" s="2"/>
      <c r="J30" s="86"/>
      <c r="K30" s="86"/>
      <c r="L30" s="2"/>
      <c r="M30" s="2"/>
    </row>
    <row r="31" spans="1:13" ht="18.75" x14ac:dyDescent="0.3">
      <c r="A31" s="8"/>
      <c r="B31" s="8"/>
      <c r="C31" s="9"/>
      <c r="D31" s="8"/>
      <c r="E31" s="8"/>
      <c r="F31" s="8"/>
      <c r="G31" s="8"/>
      <c r="H31" s="2"/>
      <c r="I31" s="2"/>
      <c r="J31" s="86"/>
      <c r="K31" s="86"/>
      <c r="L31" s="2"/>
      <c r="M31" s="2"/>
    </row>
    <row r="32" spans="1:13" ht="18.75" x14ac:dyDescent="0.3">
      <c r="A32" s="8"/>
      <c r="B32" s="8"/>
      <c r="C32" s="9"/>
      <c r="D32" s="8"/>
      <c r="E32" s="8"/>
      <c r="F32" s="8"/>
      <c r="G32" s="8"/>
      <c r="H32" s="2"/>
      <c r="I32" s="2"/>
      <c r="J32" s="86"/>
      <c r="K32" s="86"/>
      <c r="L32" s="2"/>
      <c r="M32" s="2"/>
    </row>
    <row r="33" spans="1:13" ht="18.75" x14ac:dyDescent="0.3">
      <c r="A33" s="8"/>
      <c r="B33" s="8"/>
      <c r="C33" s="9"/>
      <c r="D33" s="8"/>
      <c r="E33" s="8"/>
      <c r="F33" s="8"/>
      <c r="G33" s="8"/>
      <c r="H33" s="2"/>
      <c r="I33" s="2"/>
      <c r="J33" s="86"/>
      <c r="K33" s="86"/>
      <c r="L33" s="2"/>
      <c r="M33" s="2"/>
    </row>
    <row r="34" spans="1:13" ht="18.75" x14ac:dyDescent="0.3">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5" x14ac:dyDescent="0.25"/>
  <cols>
    <col min="1" max="1" width="4.140625" style="3" bestFit="1" customWidth="1"/>
    <col min="2" max="2" width="6" style="3" customWidth="1"/>
    <col min="3" max="3" width="11.140625" style="66" customWidth="1"/>
    <col min="4" max="4" width="9.7109375" style="66" customWidth="1"/>
    <col min="5" max="5" width="9.140625" style="93"/>
    <col min="6" max="6" width="14.85546875" bestFit="1" customWidth="1"/>
  </cols>
  <sheetData>
    <row r="1" spans="1:17" ht="8.25" customHeight="1" x14ac:dyDescent="0.25"/>
    <row r="2" spans="1:17" ht="59.25" customHeight="1" x14ac:dyDescent="0.25">
      <c r="C2" s="99" t="s">
        <v>212</v>
      </c>
      <c r="D2" s="99"/>
      <c r="E2" s="99"/>
      <c r="F2" s="99"/>
      <c r="G2" s="99"/>
      <c r="H2" s="99"/>
      <c r="I2" s="99"/>
      <c r="J2" s="99"/>
      <c r="K2" s="99"/>
      <c r="L2" s="99"/>
      <c r="M2" s="99"/>
      <c r="N2" s="99"/>
      <c r="O2" s="19"/>
    </row>
    <row r="3" spans="1:17" ht="21" x14ac:dyDescent="0.3">
      <c r="C3" s="83"/>
      <c r="F3" s="100" t="s">
        <v>236</v>
      </c>
      <c r="G3" s="100"/>
      <c r="H3" s="100"/>
      <c r="I3" s="100"/>
      <c r="J3" s="100"/>
      <c r="K3" s="100"/>
      <c r="L3" s="100"/>
      <c r="M3" s="100"/>
      <c r="N3" s="100"/>
      <c r="O3" s="100"/>
      <c r="P3" s="100"/>
      <c r="Q3" s="100"/>
    </row>
    <row r="4" spans="1:17" ht="37.5" x14ac:dyDescent="0.25">
      <c r="A4" s="12" t="s">
        <v>7</v>
      </c>
      <c r="B4" s="12" t="s">
        <v>33</v>
      </c>
      <c r="C4" s="14" t="s">
        <v>30</v>
      </c>
      <c r="D4" s="15" t="s">
        <v>31</v>
      </c>
      <c r="E4" s="17" t="s">
        <v>32</v>
      </c>
      <c r="F4" s="16" t="s">
        <v>34</v>
      </c>
      <c r="G4" s="16" t="s">
        <v>77</v>
      </c>
      <c r="H4" s="16"/>
      <c r="I4" s="16"/>
      <c r="J4" s="16" t="s">
        <v>211</v>
      </c>
    </row>
    <row r="5" spans="1:17" ht="18.75" x14ac:dyDescent="0.3">
      <c r="A5" s="8">
        <v>1</v>
      </c>
      <c r="B5" s="8">
        <v>1</v>
      </c>
      <c r="C5" s="91">
        <v>0</v>
      </c>
      <c r="D5" s="92">
        <v>0</v>
      </c>
      <c r="E5" s="94">
        <f>D5-C5</f>
        <v>0</v>
      </c>
      <c r="F5" s="9">
        <v>46101</v>
      </c>
      <c r="G5" s="2" t="s">
        <v>210</v>
      </c>
      <c r="H5" s="2"/>
      <c r="I5" s="2"/>
      <c r="J5" s="2"/>
    </row>
    <row r="6" spans="1:17" ht="18.75" x14ac:dyDescent="0.3">
      <c r="A6" s="8">
        <v>2</v>
      </c>
      <c r="B6" s="8">
        <v>2</v>
      </c>
      <c r="C6" s="91">
        <v>0</v>
      </c>
      <c r="D6" s="92">
        <v>0</v>
      </c>
      <c r="E6" s="94">
        <f t="shared" ref="E6:E18" si="0">D6-C6</f>
        <v>0</v>
      </c>
      <c r="F6" s="9">
        <v>46098</v>
      </c>
      <c r="G6" s="2" t="s">
        <v>160</v>
      </c>
      <c r="H6" s="2"/>
      <c r="I6" s="2"/>
      <c r="J6" s="2"/>
    </row>
    <row r="7" spans="1:17" ht="18.75" x14ac:dyDescent="0.3">
      <c r="A7" s="8">
        <v>3</v>
      </c>
      <c r="B7" s="8">
        <v>3</v>
      </c>
      <c r="C7" s="91">
        <v>0</v>
      </c>
      <c r="D7" s="92">
        <v>0</v>
      </c>
      <c r="E7" s="94">
        <f t="shared" si="0"/>
        <v>0</v>
      </c>
      <c r="F7" s="9">
        <v>46115</v>
      </c>
      <c r="G7" s="2" t="s">
        <v>141</v>
      </c>
      <c r="H7" s="2"/>
      <c r="I7" s="2"/>
      <c r="J7" s="2"/>
    </row>
    <row r="8" spans="1:17" ht="18.75" x14ac:dyDescent="0.3">
      <c r="A8" s="8">
        <v>4</v>
      </c>
      <c r="B8" s="8">
        <v>4</v>
      </c>
      <c r="C8" s="91">
        <v>0</v>
      </c>
      <c r="D8" s="92">
        <v>0</v>
      </c>
      <c r="E8" s="94">
        <f t="shared" si="0"/>
        <v>0</v>
      </c>
      <c r="F8" s="9">
        <v>46098</v>
      </c>
      <c r="G8" s="2" t="s">
        <v>161</v>
      </c>
      <c r="H8" s="2"/>
      <c r="I8" s="2"/>
      <c r="J8" s="2"/>
    </row>
    <row r="9" spans="1:17" ht="18.75" x14ac:dyDescent="0.3">
      <c r="A9" s="8">
        <v>5</v>
      </c>
      <c r="B9" s="8">
        <v>5</v>
      </c>
      <c r="C9" s="91">
        <v>0</v>
      </c>
      <c r="D9" s="92">
        <v>0</v>
      </c>
      <c r="E9" s="94">
        <f t="shared" si="0"/>
        <v>0</v>
      </c>
      <c r="F9" s="9">
        <v>46098</v>
      </c>
      <c r="G9" s="2" t="s">
        <v>164</v>
      </c>
      <c r="H9" s="2"/>
      <c r="I9" s="2"/>
      <c r="J9" s="2"/>
    </row>
    <row r="10" spans="1:17" ht="18.75" x14ac:dyDescent="0.3">
      <c r="A10" s="8">
        <v>6</v>
      </c>
      <c r="B10" s="8">
        <v>6</v>
      </c>
      <c r="C10" s="91">
        <v>0</v>
      </c>
      <c r="D10" s="92">
        <v>0</v>
      </c>
      <c r="E10" s="94">
        <f t="shared" si="0"/>
        <v>0</v>
      </c>
      <c r="F10" s="9">
        <v>46098</v>
      </c>
      <c r="G10" s="2" t="s">
        <v>154</v>
      </c>
      <c r="H10" s="2"/>
      <c r="I10" s="2"/>
      <c r="J10" s="2"/>
    </row>
    <row r="11" spans="1:17" ht="18.75" x14ac:dyDescent="0.3">
      <c r="A11" s="8">
        <v>7</v>
      </c>
      <c r="B11" s="8">
        <v>7</v>
      </c>
      <c r="C11" s="91">
        <v>0</v>
      </c>
      <c r="D11" s="92">
        <v>0</v>
      </c>
      <c r="E11" s="94">
        <f t="shared" si="0"/>
        <v>0</v>
      </c>
      <c r="F11" s="9"/>
      <c r="G11" s="2" t="s">
        <v>162</v>
      </c>
      <c r="H11" s="2"/>
      <c r="I11" s="2"/>
      <c r="J11" s="2"/>
    </row>
    <row r="12" spans="1:17" ht="18.75" x14ac:dyDescent="0.3">
      <c r="A12" s="8">
        <v>8</v>
      </c>
      <c r="B12" s="8">
        <v>8</v>
      </c>
      <c r="C12" s="91">
        <v>0</v>
      </c>
      <c r="D12" s="92">
        <v>0</v>
      </c>
      <c r="E12" s="94">
        <f t="shared" si="0"/>
        <v>0</v>
      </c>
      <c r="F12" s="9">
        <v>46098</v>
      </c>
      <c r="G12" s="2" t="s">
        <v>163</v>
      </c>
      <c r="H12" s="2"/>
      <c r="I12" s="2"/>
      <c r="J12" s="2"/>
    </row>
    <row r="13" spans="1:17" ht="18.75" x14ac:dyDescent="0.3">
      <c r="A13" s="8">
        <v>9</v>
      </c>
      <c r="B13" s="8">
        <v>9</v>
      </c>
      <c r="C13" s="91">
        <v>0</v>
      </c>
      <c r="D13" s="92">
        <v>0</v>
      </c>
      <c r="E13" s="94">
        <f t="shared" si="0"/>
        <v>0</v>
      </c>
      <c r="F13" s="9">
        <v>46098</v>
      </c>
      <c r="G13" s="2" t="s">
        <v>184</v>
      </c>
      <c r="H13" s="2"/>
      <c r="I13" s="2"/>
      <c r="J13" s="2"/>
    </row>
    <row r="14" spans="1:17" ht="18.75" x14ac:dyDescent="0.3">
      <c r="A14" s="8">
        <v>10</v>
      </c>
      <c r="B14" s="8">
        <v>10</v>
      </c>
      <c r="C14" s="91">
        <v>0</v>
      </c>
      <c r="D14" s="92">
        <v>0</v>
      </c>
      <c r="E14" s="94">
        <f t="shared" si="0"/>
        <v>0</v>
      </c>
      <c r="F14" s="9">
        <v>46098</v>
      </c>
      <c r="G14" s="2" t="s">
        <v>154</v>
      </c>
      <c r="H14" s="2"/>
      <c r="I14" s="2"/>
      <c r="J14" s="2"/>
    </row>
    <row r="15" spans="1:17" ht="18.75" x14ac:dyDescent="0.3">
      <c r="A15" s="8">
        <v>11</v>
      </c>
      <c r="B15" s="8">
        <v>11</v>
      </c>
      <c r="C15" s="91">
        <v>0</v>
      </c>
      <c r="D15" s="92">
        <v>0</v>
      </c>
      <c r="E15" s="94">
        <f t="shared" si="0"/>
        <v>0</v>
      </c>
      <c r="F15" s="9">
        <v>46098</v>
      </c>
      <c r="G15" s="2" t="s">
        <v>187</v>
      </c>
      <c r="H15" s="2"/>
      <c r="I15" s="2"/>
      <c r="J15" s="2"/>
    </row>
    <row r="16" spans="1:17" ht="18.75" x14ac:dyDescent="0.3">
      <c r="A16" s="8">
        <v>12</v>
      </c>
      <c r="B16" s="8">
        <v>12</v>
      </c>
      <c r="C16" s="91">
        <v>0</v>
      </c>
      <c r="D16" s="92">
        <v>0</v>
      </c>
      <c r="E16" s="94">
        <f t="shared" si="0"/>
        <v>0</v>
      </c>
      <c r="F16" s="9">
        <v>46098</v>
      </c>
      <c r="G16" s="2" t="s">
        <v>142</v>
      </c>
      <c r="H16" s="2"/>
      <c r="I16" s="2"/>
      <c r="J16" s="2"/>
    </row>
    <row r="17" spans="1:10" ht="18.75" x14ac:dyDescent="0.3">
      <c r="A17" s="8">
        <v>13</v>
      </c>
      <c r="B17" s="8">
        <v>13</v>
      </c>
      <c r="C17" s="91">
        <v>0</v>
      </c>
      <c r="D17" s="92">
        <v>0</v>
      </c>
      <c r="E17" s="94">
        <f t="shared" si="0"/>
        <v>0</v>
      </c>
      <c r="F17" s="9">
        <v>46098</v>
      </c>
      <c r="G17" s="2" t="s">
        <v>159</v>
      </c>
      <c r="H17" s="2"/>
      <c r="I17" s="2"/>
      <c r="J17" s="2"/>
    </row>
    <row r="18" spans="1:10" ht="18.75" x14ac:dyDescent="0.3">
      <c r="A18" s="8">
        <v>14</v>
      </c>
      <c r="B18" s="8">
        <v>14</v>
      </c>
      <c r="C18" s="91">
        <v>0</v>
      </c>
      <c r="D18" s="92">
        <v>0</v>
      </c>
      <c r="E18" s="94">
        <f t="shared" si="0"/>
        <v>0</v>
      </c>
      <c r="F18" s="9">
        <v>46098</v>
      </c>
      <c r="G18" s="2" t="s">
        <v>159</v>
      </c>
      <c r="H18" s="2"/>
      <c r="I18" s="2"/>
      <c r="J18" s="2"/>
    </row>
    <row r="19" spans="1:10" ht="18.75" x14ac:dyDescent="0.3">
      <c r="A19" s="8"/>
      <c r="B19" s="8"/>
      <c r="C19" s="33"/>
      <c r="D19" s="33"/>
      <c r="E19" s="95"/>
      <c r="F19" s="2"/>
      <c r="G19" s="2"/>
      <c r="H19" s="2"/>
      <c r="I19" s="2"/>
      <c r="J19" s="2"/>
    </row>
    <row r="20" spans="1:10" ht="18.75" x14ac:dyDescent="0.3">
      <c r="A20" s="8"/>
      <c r="B20" s="8"/>
      <c r="C20" s="33"/>
      <c r="D20" s="33"/>
      <c r="E20" s="95"/>
      <c r="F20" s="2"/>
      <c r="G20" s="2"/>
      <c r="H20" s="2"/>
      <c r="I20" s="2"/>
      <c r="J20" s="2"/>
    </row>
    <row r="21" spans="1:10" ht="18.75" x14ac:dyDescent="0.3">
      <c r="A21" s="8"/>
      <c r="B21" s="8"/>
      <c r="C21" s="33"/>
      <c r="D21" s="33"/>
      <c r="E21" s="95"/>
      <c r="F21" s="2"/>
      <c r="G21" s="2"/>
      <c r="H21" s="2"/>
      <c r="I21" s="2"/>
      <c r="J21" s="2"/>
    </row>
    <row r="22" spans="1:10" ht="18.75" x14ac:dyDescent="0.3">
      <c r="A22" s="8"/>
      <c r="B22" s="8"/>
      <c r="C22" s="33"/>
      <c r="D22" s="33"/>
      <c r="E22" s="95"/>
      <c r="F22" s="2"/>
      <c r="G22" s="2"/>
      <c r="H22" s="2"/>
      <c r="I22" s="2"/>
      <c r="J22" s="2"/>
    </row>
    <row r="23" spans="1:10" ht="18.75" x14ac:dyDescent="0.3">
      <c r="A23" s="8"/>
      <c r="B23" s="8"/>
      <c r="C23" s="33"/>
      <c r="D23" s="33"/>
      <c r="E23" s="95"/>
      <c r="F23" s="2"/>
      <c r="G23" s="2"/>
      <c r="H23" s="2"/>
      <c r="I23" s="2"/>
      <c r="J23" s="2"/>
    </row>
    <row r="24" spans="1:10" ht="18.75" x14ac:dyDescent="0.3">
      <c r="A24" s="8"/>
      <c r="B24" s="8"/>
      <c r="C24" s="33"/>
      <c r="D24" s="33"/>
      <c r="E24" s="95"/>
      <c r="F24" s="2"/>
      <c r="G24" s="2"/>
      <c r="H24" s="2"/>
      <c r="I24" s="2"/>
      <c r="J24" s="2"/>
    </row>
    <row r="25" spans="1:10" ht="18.75" x14ac:dyDescent="0.3">
      <c r="A25" s="8"/>
      <c r="B25" s="8"/>
      <c r="C25" s="33"/>
      <c r="D25" s="33"/>
      <c r="E25" s="95"/>
      <c r="F25" s="2"/>
      <c r="G25" s="2"/>
      <c r="H25" s="2"/>
      <c r="I25" s="2"/>
      <c r="J25" s="2"/>
    </row>
    <row r="26" spans="1:10" ht="18.75" x14ac:dyDescent="0.3">
      <c r="A26" s="8"/>
      <c r="B26" s="8"/>
      <c r="C26" s="33"/>
      <c r="D26" s="33"/>
      <c r="E26" s="95"/>
      <c r="F26" s="2"/>
      <c r="G26" s="2"/>
      <c r="H26" s="2"/>
      <c r="I26" s="2"/>
      <c r="J26" s="2"/>
    </row>
    <row r="27" spans="1:10" ht="18.75" x14ac:dyDescent="0.3">
      <c r="A27" s="8"/>
      <c r="B27" s="8"/>
      <c r="C27" s="33"/>
      <c r="D27" s="33"/>
      <c r="E27" s="95"/>
      <c r="F27" s="2"/>
      <c r="G27" s="2"/>
      <c r="H27" s="2"/>
      <c r="I27" s="2"/>
      <c r="J27" s="2"/>
    </row>
    <row r="28" spans="1:10" ht="18.75" x14ac:dyDescent="0.3">
      <c r="A28" s="8"/>
      <c r="B28" s="8"/>
      <c r="C28" s="33"/>
      <c r="D28" s="33"/>
      <c r="E28" s="95"/>
      <c r="F28" s="2"/>
      <c r="G28" s="2"/>
      <c r="H28" s="2"/>
      <c r="I28" s="2"/>
      <c r="J28" s="2"/>
    </row>
    <row r="29" spans="1:10" ht="18.75" x14ac:dyDescent="0.3">
      <c r="A29" s="8"/>
      <c r="B29" s="8"/>
      <c r="C29" s="33"/>
      <c r="D29" s="33"/>
      <c r="E29" s="95"/>
      <c r="F29" s="2"/>
      <c r="G29" s="2"/>
      <c r="H29" s="2"/>
      <c r="I29" s="2"/>
      <c r="J29" s="2"/>
    </row>
    <row r="30" spans="1:10" ht="18.75" x14ac:dyDescent="0.3">
      <c r="A30" s="8"/>
      <c r="B30" s="8"/>
      <c r="C30" s="33"/>
      <c r="D30" s="33"/>
      <c r="E30" s="95"/>
      <c r="F30" s="2"/>
      <c r="G30" s="2"/>
      <c r="H30" s="2"/>
      <c r="I30" s="2"/>
      <c r="J30" s="2"/>
    </row>
    <row r="31" spans="1:10" ht="18.75" x14ac:dyDescent="0.3">
      <c r="A31" s="8"/>
      <c r="B31" s="8"/>
      <c r="C31" s="33"/>
      <c r="D31" s="33"/>
      <c r="E31" s="95"/>
      <c r="F31" s="2"/>
      <c r="G31" s="2"/>
      <c r="H31" s="2"/>
      <c r="I31" s="2"/>
      <c r="J31" s="2"/>
    </row>
    <row r="32" spans="1:10" ht="18.75" x14ac:dyDescent="0.3">
      <c r="A32" s="8"/>
      <c r="B32" s="8"/>
      <c r="C32" s="33"/>
      <c r="D32" s="33"/>
      <c r="E32" s="95"/>
      <c r="F32" s="2"/>
      <c r="G32" s="2"/>
      <c r="H32" s="2"/>
      <c r="I32" s="2"/>
      <c r="J32" s="2"/>
    </row>
    <row r="33" spans="1:10" ht="18.75" x14ac:dyDescent="0.3">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5" x14ac:dyDescent="0.25"/>
  <cols>
    <col min="1" max="1" width="4.140625" style="3" bestFit="1" customWidth="1"/>
    <col min="2" max="2" width="6" style="3" customWidth="1"/>
    <col min="3" max="3" width="11.140625" style="66" customWidth="1"/>
    <col min="4" max="4" width="9.7109375" style="66" customWidth="1"/>
    <col min="5" max="5" width="9.140625" style="93"/>
    <col min="6" max="6" width="14.85546875" bestFit="1" customWidth="1"/>
  </cols>
  <sheetData>
    <row r="1" spans="1:17" ht="8.25" customHeight="1" x14ac:dyDescent="0.25"/>
    <row r="2" spans="1:17" ht="59.25" customHeight="1" x14ac:dyDescent="0.25">
      <c r="C2" s="99" t="s">
        <v>185</v>
      </c>
      <c r="D2" s="99"/>
      <c r="E2" s="99"/>
      <c r="F2" s="99"/>
      <c r="G2" s="99"/>
      <c r="H2" s="99"/>
      <c r="I2" s="99"/>
      <c r="J2" s="99"/>
      <c r="K2" s="99"/>
      <c r="L2" s="99"/>
      <c r="M2" s="99"/>
      <c r="N2" s="99"/>
      <c r="O2" s="19"/>
    </row>
    <row r="3" spans="1:17" ht="21" x14ac:dyDescent="0.3">
      <c r="C3" s="83"/>
      <c r="F3" s="100" t="s">
        <v>188</v>
      </c>
      <c r="G3" s="100"/>
      <c r="H3" s="100"/>
      <c r="I3" s="100"/>
      <c r="J3" s="100"/>
      <c r="K3" s="100"/>
      <c r="L3" s="100"/>
      <c r="M3" s="100"/>
      <c r="N3" s="100"/>
      <c r="O3" s="100"/>
      <c r="P3" s="100"/>
      <c r="Q3" s="100"/>
    </row>
    <row r="4" spans="1:17" ht="37.5" x14ac:dyDescent="0.25">
      <c r="A4" s="12" t="s">
        <v>7</v>
      </c>
      <c r="B4" s="12" t="s">
        <v>33</v>
      </c>
      <c r="C4" s="14" t="s">
        <v>30</v>
      </c>
      <c r="D4" s="15" t="s">
        <v>31</v>
      </c>
      <c r="E4" s="17" t="s">
        <v>32</v>
      </c>
      <c r="F4" s="16" t="s">
        <v>34</v>
      </c>
      <c r="G4" s="16" t="s">
        <v>77</v>
      </c>
      <c r="H4" s="16"/>
      <c r="I4" s="16"/>
      <c r="J4" s="16"/>
    </row>
    <row r="5" spans="1:17" ht="18.75" x14ac:dyDescent="0.3">
      <c r="A5" s="8">
        <v>1</v>
      </c>
      <c r="B5" s="8">
        <v>1</v>
      </c>
      <c r="C5" s="91"/>
      <c r="D5" s="92"/>
      <c r="E5" s="94">
        <f>D5-C5</f>
        <v>0</v>
      </c>
      <c r="F5" s="9"/>
      <c r="G5" s="2" t="s">
        <v>186</v>
      </c>
      <c r="H5" s="2"/>
      <c r="I5" s="2"/>
      <c r="J5" s="2"/>
    </row>
    <row r="6" spans="1:17" ht="18.75" x14ac:dyDescent="0.3">
      <c r="A6" s="8">
        <v>2</v>
      </c>
      <c r="B6" s="8">
        <v>2</v>
      </c>
      <c r="C6" s="91"/>
      <c r="D6" s="92"/>
      <c r="E6" s="94">
        <f t="shared" ref="E6:E18" si="0">D6-C6</f>
        <v>0</v>
      </c>
      <c r="F6" s="9"/>
      <c r="G6" s="2" t="s">
        <v>160</v>
      </c>
      <c r="H6" s="2"/>
      <c r="I6" s="2"/>
      <c r="J6" s="2"/>
    </row>
    <row r="7" spans="1:17" ht="18.75" x14ac:dyDescent="0.3">
      <c r="A7" s="8">
        <v>3</v>
      </c>
      <c r="B7" s="8">
        <v>3</v>
      </c>
      <c r="C7" s="91"/>
      <c r="D7" s="92"/>
      <c r="E7" s="94">
        <f t="shared" si="0"/>
        <v>0</v>
      </c>
      <c r="F7" s="9"/>
      <c r="G7" s="2" t="s">
        <v>141</v>
      </c>
      <c r="H7" s="2"/>
      <c r="I7" s="2"/>
      <c r="J7" s="2"/>
    </row>
    <row r="8" spans="1:17" ht="18.75" x14ac:dyDescent="0.3">
      <c r="A8" s="8">
        <v>4</v>
      </c>
      <c r="B8" s="8">
        <v>4</v>
      </c>
      <c r="C8" s="91"/>
      <c r="D8" s="92"/>
      <c r="E8" s="94">
        <f t="shared" si="0"/>
        <v>0</v>
      </c>
      <c r="F8" s="9"/>
      <c r="G8" s="2" t="s">
        <v>161</v>
      </c>
      <c r="H8" s="2"/>
      <c r="I8" s="2"/>
      <c r="J8" s="2"/>
    </row>
    <row r="9" spans="1:17" ht="18.75" x14ac:dyDescent="0.3">
      <c r="A9" s="8">
        <v>5</v>
      </c>
      <c r="B9" s="8">
        <v>5</v>
      </c>
      <c r="C9" s="91"/>
      <c r="D9" s="92"/>
      <c r="E9" s="94">
        <f t="shared" si="0"/>
        <v>0</v>
      </c>
      <c r="F9" s="9"/>
      <c r="G9" s="2" t="s">
        <v>164</v>
      </c>
      <c r="H9" s="2"/>
      <c r="I9" s="2"/>
      <c r="J9" s="2"/>
    </row>
    <row r="10" spans="1:17" ht="18.75" x14ac:dyDescent="0.3">
      <c r="A10" s="8">
        <v>6</v>
      </c>
      <c r="B10" s="8">
        <v>6</v>
      </c>
      <c r="C10" s="91"/>
      <c r="D10" s="92"/>
      <c r="E10" s="94">
        <f t="shared" si="0"/>
        <v>0</v>
      </c>
      <c r="F10" s="9"/>
      <c r="G10" s="2" t="s">
        <v>154</v>
      </c>
      <c r="H10" s="2"/>
      <c r="I10" s="2"/>
      <c r="J10" s="2"/>
    </row>
    <row r="11" spans="1:17" ht="18.75" x14ac:dyDescent="0.3">
      <c r="A11" s="8">
        <v>7</v>
      </c>
      <c r="B11" s="8">
        <v>7</v>
      </c>
      <c r="C11" s="91"/>
      <c r="D11" s="92"/>
      <c r="E11" s="94">
        <f t="shared" si="0"/>
        <v>0</v>
      </c>
      <c r="F11" s="9"/>
      <c r="G11" s="2" t="s">
        <v>162</v>
      </c>
      <c r="H11" s="2"/>
      <c r="I11" s="2"/>
      <c r="J11" s="2"/>
    </row>
    <row r="12" spans="1:17" ht="18.75" x14ac:dyDescent="0.3">
      <c r="A12" s="8">
        <v>8</v>
      </c>
      <c r="B12" s="8">
        <v>8</v>
      </c>
      <c r="C12" s="91"/>
      <c r="D12" s="92"/>
      <c r="E12" s="94">
        <f t="shared" si="0"/>
        <v>0</v>
      </c>
      <c r="F12" s="9"/>
      <c r="G12" s="2" t="s">
        <v>163</v>
      </c>
      <c r="H12" s="2"/>
      <c r="I12" s="2"/>
      <c r="J12" s="2"/>
    </row>
    <row r="13" spans="1:17" ht="18.75" x14ac:dyDescent="0.3">
      <c r="A13" s="8">
        <v>9</v>
      </c>
      <c r="B13" s="8">
        <v>9</v>
      </c>
      <c r="C13" s="91"/>
      <c r="D13" s="92"/>
      <c r="E13" s="94">
        <f t="shared" si="0"/>
        <v>0</v>
      </c>
      <c r="F13" s="9"/>
      <c r="G13" s="2" t="s">
        <v>184</v>
      </c>
      <c r="H13" s="2"/>
      <c r="I13" s="2"/>
      <c r="J13" s="2"/>
    </row>
    <row r="14" spans="1:17" ht="18.75" x14ac:dyDescent="0.3">
      <c r="A14" s="8">
        <v>10</v>
      </c>
      <c r="B14" s="8">
        <v>10</v>
      </c>
      <c r="C14" s="91"/>
      <c r="D14" s="92"/>
      <c r="E14" s="94">
        <f t="shared" si="0"/>
        <v>0</v>
      </c>
      <c r="F14" s="9"/>
      <c r="G14" s="2" t="s">
        <v>154</v>
      </c>
      <c r="H14" s="2"/>
      <c r="I14" s="2"/>
      <c r="J14" s="2"/>
    </row>
    <row r="15" spans="1:17" ht="18.75" x14ac:dyDescent="0.3">
      <c r="A15" s="8">
        <v>11</v>
      </c>
      <c r="B15" s="8">
        <v>11</v>
      </c>
      <c r="C15" s="91"/>
      <c r="D15" s="92"/>
      <c r="E15" s="94">
        <f t="shared" si="0"/>
        <v>0</v>
      </c>
      <c r="F15" s="9"/>
      <c r="G15" s="2" t="s">
        <v>187</v>
      </c>
      <c r="H15" s="2"/>
      <c r="I15" s="2"/>
      <c r="J15" s="2"/>
    </row>
    <row r="16" spans="1:17" ht="18.75" x14ac:dyDescent="0.3">
      <c r="A16" s="8">
        <v>12</v>
      </c>
      <c r="B16" s="8">
        <v>12</v>
      </c>
      <c r="C16" s="91"/>
      <c r="D16" s="92"/>
      <c r="E16" s="94">
        <f t="shared" si="0"/>
        <v>0</v>
      </c>
      <c r="F16" s="9"/>
      <c r="G16" s="2" t="s">
        <v>142</v>
      </c>
      <c r="H16" s="2"/>
      <c r="I16" s="2"/>
      <c r="J16" s="2"/>
    </row>
    <row r="17" spans="1:10" ht="18.75" x14ac:dyDescent="0.3">
      <c r="A17" s="8">
        <v>13</v>
      </c>
      <c r="B17" s="8">
        <v>13</v>
      </c>
      <c r="C17" s="91"/>
      <c r="D17" s="92"/>
      <c r="E17" s="94">
        <f t="shared" si="0"/>
        <v>0</v>
      </c>
      <c r="F17" s="9"/>
      <c r="G17" s="2" t="s">
        <v>159</v>
      </c>
      <c r="H17" s="2"/>
      <c r="I17" s="2"/>
      <c r="J17" s="2"/>
    </row>
    <row r="18" spans="1:10" ht="18.75" x14ac:dyDescent="0.3">
      <c r="A18" s="8">
        <v>14</v>
      </c>
      <c r="B18" s="8">
        <v>14</v>
      </c>
      <c r="C18" s="91"/>
      <c r="D18" s="92"/>
      <c r="E18" s="94">
        <f t="shared" si="0"/>
        <v>0</v>
      </c>
      <c r="F18" s="9"/>
      <c r="G18" s="2" t="s">
        <v>159</v>
      </c>
      <c r="H18" s="2"/>
      <c r="I18" s="2"/>
      <c r="J18" s="2"/>
    </row>
    <row r="19" spans="1:10" ht="18.75" x14ac:dyDescent="0.3">
      <c r="A19" s="8"/>
      <c r="B19" s="8"/>
      <c r="C19" s="33"/>
      <c r="D19" s="33"/>
      <c r="E19" s="95"/>
      <c r="F19" s="2"/>
      <c r="G19" s="2"/>
      <c r="H19" s="2"/>
      <c r="I19" s="2"/>
      <c r="J19" s="2"/>
    </row>
    <row r="20" spans="1:10" ht="18.75" x14ac:dyDescent="0.3">
      <c r="A20" s="8"/>
      <c r="B20" s="8"/>
      <c r="C20" s="33"/>
      <c r="D20" s="33"/>
      <c r="E20" s="95"/>
      <c r="F20" s="2"/>
      <c r="G20" s="2"/>
      <c r="H20" s="2"/>
      <c r="I20" s="2"/>
      <c r="J20" s="2"/>
    </row>
    <row r="21" spans="1:10" ht="18.75" x14ac:dyDescent="0.3">
      <c r="A21" s="8"/>
      <c r="B21" s="8"/>
      <c r="C21" s="33"/>
      <c r="D21" s="33"/>
      <c r="E21" s="95"/>
      <c r="F21" s="2"/>
      <c r="G21" s="2"/>
      <c r="H21" s="2"/>
      <c r="I21" s="2"/>
      <c r="J21" s="2"/>
    </row>
    <row r="22" spans="1:10" ht="18.75" x14ac:dyDescent="0.3">
      <c r="A22" s="8"/>
      <c r="B22" s="8"/>
      <c r="C22" s="33"/>
      <c r="D22" s="33"/>
      <c r="E22" s="95"/>
      <c r="F22" s="2"/>
      <c r="G22" s="2"/>
      <c r="H22" s="2"/>
      <c r="I22" s="2"/>
      <c r="J22" s="2"/>
    </row>
    <row r="23" spans="1:10" ht="18.75" x14ac:dyDescent="0.3">
      <c r="A23" s="8"/>
      <c r="B23" s="8"/>
      <c r="C23" s="33"/>
      <c r="D23" s="33"/>
      <c r="E23" s="95"/>
      <c r="F23" s="2"/>
      <c r="G23" s="2"/>
      <c r="H23" s="2"/>
      <c r="I23" s="2"/>
      <c r="J23" s="2"/>
    </row>
    <row r="24" spans="1:10" ht="18.75" x14ac:dyDescent="0.3">
      <c r="A24" s="8"/>
      <c r="B24" s="8"/>
      <c r="C24" s="33"/>
      <c r="D24" s="33"/>
      <c r="E24" s="95"/>
      <c r="F24" s="2"/>
      <c r="G24" s="2"/>
      <c r="H24" s="2"/>
      <c r="I24" s="2"/>
      <c r="J24" s="2"/>
    </row>
    <row r="25" spans="1:10" ht="18.75" x14ac:dyDescent="0.3">
      <c r="A25" s="8"/>
      <c r="B25" s="8"/>
      <c r="C25" s="33"/>
      <c r="D25" s="33"/>
      <c r="E25" s="95"/>
      <c r="F25" s="2"/>
      <c r="G25" s="2"/>
      <c r="H25" s="2"/>
      <c r="I25" s="2"/>
      <c r="J25" s="2"/>
    </row>
    <row r="26" spans="1:10" ht="18.75" x14ac:dyDescent="0.3">
      <c r="A26" s="8"/>
      <c r="B26" s="8"/>
      <c r="C26" s="33"/>
      <c r="D26" s="33"/>
      <c r="E26" s="95"/>
      <c r="F26" s="2"/>
      <c r="G26" s="2"/>
      <c r="H26" s="2"/>
      <c r="I26" s="2"/>
      <c r="J26" s="2"/>
    </row>
    <row r="27" spans="1:10" ht="18.75" x14ac:dyDescent="0.3">
      <c r="A27" s="8"/>
      <c r="B27" s="8"/>
      <c r="C27" s="33"/>
      <c r="D27" s="33"/>
      <c r="E27" s="95"/>
      <c r="F27" s="2"/>
      <c r="G27" s="2"/>
      <c r="H27" s="2"/>
      <c r="I27" s="2"/>
      <c r="J27" s="2"/>
    </row>
    <row r="28" spans="1:10" ht="18.75" x14ac:dyDescent="0.3">
      <c r="A28" s="8"/>
      <c r="B28" s="8"/>
      <c r="C28" s="33"/>
      <c r="D28" s="33"/>
      <c r="E28" s="95"/>
      <c r="F28" s="2"/>
      <c r="G28" s="2"/>
      <c r="H28" s="2"/>
      <c r="I28" s="2"/>
      <c r="J28" s="2"/>
    </row>
    <row r="29" spans="1:10" ht="18.75" x14ac:dyDescent="0.3">
      <c r="A29" s="8"/>
      <c r="B29" s="8"/>
      <c r="C29" s="33"/>
      <c r="D29" s="33"/>
      <c r="E29" s="95"/>
      <c r="F29" s="2"/>
      <c r="G29" s="2"/>
      <c r="H29" s="2"/>
      <c r="I29" s="2"/>
      <c r="J29" s="2"/>
    </row>
    <row r="30" spans="1:10" ht="18.75" x14ac:dyDescent="0.3">
      <c r="A30" s="8"/>
      <c r="B30" s="8"/>
      <c r="C30" s="33"/>
      <c r="D30" s="33"/>
      <c r="E30" s="95"/>
      <c r="F30" s="2"/>
      <c r="G30" s="2"/>
      <c r="H30" s="2"/>
      <c r="I30" s="2"/>
      <c r="J30" s="2"/>
    </row>
    <row r="31" spans="1:10" ht="18.75" x14ac:dyDescent="0.3">
      <c r="A31" s="8"/>
      <c r="B31" s="8"/>
      <c r="C31" s="33"/>
      <c r="D31" s="33"/>
      <c r="E31" s="95"/>
      <c r="F31" s="2"/>
      <c r="G31" s="2"/>
      <c r="H31" s="2"/>
      <c r="I31" s="2"/>
      <c r="J31" s="2"/>
    </row>
    <row r="32" spans="1:10" ht="18.75" x14ac:dyDescent="0.3">
      <c r="A32" s="8"/>
      <c r="B32" s="8"/>
      <c r="C32" s="33"/>
      <c r="D32" s="33"/>
      <c r="E32" s="95"/>
      <c r="F32" s="2"/>
      <c r="G32" s="2"/>
      <c r="H32" s="2"/>
      <c r="I32" s="2"/>
      <c r="J32" s="2"/>
    </row>
    <row r="33" spans="1:10" ht="18.75" x14ac:dyDescent="0.3">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5" x14ac:dyDescent="0.25"/>
  <cols>
    <col min="1" max="1" width="5.28515625" style="3" bestFit="1" customWidth="1"/>
    <col min="2" max="2" width="14.42578125" style="7" bestFit="1" customWidth="1"/>
    <col min="3" max="3" width="14.42578125" style="7" customWidth="1"/>
    <col min="4" max="4" width="9.42578125" style="3" bestFit="1" customWidth="1"/>
    <col min="11" max="11" width="13.4257812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75" x14ac:dyDescent="0.3">
      <c r="B3" s="10"/>
      <c r="C3" s="10"/>
      <c r="D3" s="11"/>
    </row>
    <row r="4" spans="1:32" ht="105" x14ac:dyDescent="0.25">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x14ac:dyDescent="0.3">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75" x14ac:dyDescent="0.3">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75" x14ac:dyDescent="0.3">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75" x14ac:dyDescent="0.3">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75" x14ac:dyDescent="0.3">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75" x14ac:dyDescent="0.3">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75" x14ac:dyDescent="0.3">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x14ac:dyDescent="0.3">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75" x14ac:dyDescent="0.3">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75" x14ac:dyDescent="0.3">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75" x14ac:dyDescent="0.3">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75" x14ac:dyDescent="0.3">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75" x14ac:dyDescent="0.3">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75" x14ac:dyDescent="0.3">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75" x14ac:dyDescent="0.3">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75" x14ac:dyDescent="0.3">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75" x14ac:dyDescent="0.3">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75" x14ac:dyDescent="0.3">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75" x14ac:dyDescent="0.3">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75" x14ac:dyDescent="0.3">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75" x14ac:dyDescent="0.3">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75" x14ac:dyDescent="0.3">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75" x14ac:dyDescent="0.3">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75" x14ac:dyDescent="0.3">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75" x14ac:dyDescent="0.3">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75" x14ac:dyDescent="0.3">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75" x14ac:dyDescent="0.3">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75" x14ac:dyDescent="0.3">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75" x14ac:dyDescent="0.3">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75" x14ac:dyDescent="0.3">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75" x14ac:dyDescent="0.3">
      <c r="A35" s="8">
        <v>31</v>
      </c>
      <c r="B35" s="9">
        <v>43903</v>
      </c>
      <c r="C35" s="9" t="s">
        <v>85</v>
      </c>
      <c r="D35" s="8">
        <v>23121</v>
      </c>
      <c r="G35" s="8">
        <f t="shared" si="0"/>
        <v>24.5</v>
      </c>
    </row>
    <row r="36" spans="1:27" ht="18.75" x14ac:dyDescent="0.3">
      <c r="A36" s="8">
        <v>32</v>
      </c>
      <c r="B36" s="9">
        <v>43905</v>
      </c>
      <c r="C36" s="9" t="s">
        <v>89</v>
      </c>
      <c r="D36" s="8">
        <v>23181</v>
      </c>
      <c r="G36" s="8">
        <f t="shared" si="0"/>
        <v>30</v>
      </c>
    </row>
    <row r="37" spans="1:27" ht="18.75" x14ac:dyDescent="0.3">
      <c r="A37" s="8">
        <v>33</v>
      </c>
      <c r="B37" s="9">
        <v>43908</v>
      </c>
      <c r="C37" s="9" t="s">
        <v>81</v>
      </c>
      <c r="D37" s="8">
        <v>23250</v>
      </c>
      <c r="G37" s="8">
        <f t="shared" si="0"/>
        <v>23</v>
      </c>
    </row>
    <row r="38" spans="1:27" ht="18.75" x14ac:dyDescent="0.3">
      <c r="A38" s="8">
        <v>24</v>
      </c>
      <c r="B38" s="9">
        <v>43909</v>
      </c>
      <c r="C38" s="9" t="s">
        <v>87</v>
      </c>
      <c r="D38" s="8">
        <v>23284</v>
      </c>
      <c r="G38" s="8">
        <f t="shared" si="0"/>
        <v>34</v>
      </c>
      <c r="H38" t="s">
        <v>91</v>
      </c>
    </row>
    <row r="39" spans="1:27" ht="18.75" x14ac:dyDescent="0.3">
      <c r="A39" s="8">
        <v>25</v>
      </c>
      <c r="B39" s="9">
        <v>43910</v>
      </c>
      <c r="C39" s="9" t="s">
        <v>85</v>
      </c>
      <c r="D39" s="8">
        <v>23302</v>
      </c>
      <c r="G39" s="8">
        <f t="shared" si="0"/>
        <v>18</v>
      </c>
    </row>
    <row r="40" spans="1:27" ht="18.75" x14ac:dyDescent="0.3">
      <c r="A40" s="8">
        <v>26</v>
      </c>
      <c r="B40" s="9">
        <v>43911</v>
      </c>
      <c r="C40" s="9" t="s">
        <v>80</v>
      </c>
      <c r="D40" s="8">
        <v>23318</v>
      </c>
      <c r="G40" s="8">
        <f t="shared" si="0"/>
        <v>16</v>
      </c>
    </row>
    <row r="41" spans="1:27" ht="18.75" x14ac:dyDescent="0.3">
      <c r="A41" s="8">
        <v>27</v>
      </c>
      <c r="B41" s="9">
        <v>43912</v>
      </c>
      <c r="C41" s="9" t="s">
        <v>90</v>
      </c>
      <c r="D41" s="8">
        <v>23335</v>
      </c>
      <c r="G41" s="8">
        <f t="shared" si="0"/>
        <v>17</v>
      </c>
    </row>
    <row r="42" spans="1:27" ht="18.75" x14ac:dyDescent="0.3">
      <c r="A42" s="8">
        <v>28</v>
      </c>
      <c r="B42" s="9">
        <v>43913</v>
      </c>
      <c r="C42" s="9" t="s">
        <v>82</v>
      </c>
      <c r="D42" s="8">
        <v>23352</v>
      </c>
      <c r="G42" s="8">
        <f t="shared" si="0"/>
        <v>17</v>
      </c>
    </row>
    <row r="43" spans="1:27" ht="18.75" x14ac:dyDescent="0.3">
      <c r="A43" s="8">
        <v>29</v>
      </c>
      <c r="B43" s="9">
        <v>43914</v>
      </c>
      <c r="C43" s="9" t="s">
        <v>83</v>
      </c>
      <c r="D43" s="8">
        <v>23370</v>
      </c>
      <c r="G43" s="8">
        <f t="shared" si="0"/>
        <v>18</v>
      </c>
    </row>
    <row r="44" spans="1:27" ht="18.75" x14ac:dyDescent="0.3">
      <c r="A44" s="8">
        <v>30</v>
      </c>
      <c r="B44" s="9">
        <v>43915</v>
      </c>
      <c r="C44" s="9" t="s">
        <v>86</v>
      </c>
      <c r="D44" s="8">
        <v>23387</v>
      </c>
      <c r="G44" s="8">
        <f t="shared" si="0"/>
        <v>17</v>
      </c>
    </row>
    <row r="45" spans="1:27" ht="18.75" x14ac:dyDescent="0.3">
      <c r="A45" s="8">
        <v>31</v>
      </c>
      <c r="B45" s="9">
        <v>43916</v>
      </c>
      <c r="C45" s="9" t="s">
        <v>87</v>
      </c>
      <c r="D45" s="8">
        <v>23404</v>
      </c>
      <c r="G45" s="8">
        <f t="shared" si="0"/>
        <v>17</v>
      </c>
    </row>
    <row r="46" spans="1:27" ht="18.75" x14ac:dyDescent="0.3">
      <c r="A46" s="8">
        <v>32</v>
      </c>
      <c r="B46" s="9">
        <v>43917</v>
      </c>
      <c r="C46" s="9" t="s">
        <v>85</v>
      </c>
      <c r="D46" s="8">
        <v>23421</v>
      </c>
      <c r="G46" s="8">
        <f t="shared" si="0"/>
        <v>17</v>
      </c>
    </row>
    <row r="47" spans="1:27" ht="18.75" x14ac:dyDescent="0.3">
      <c r="A47" s="8">
        <v>33</v>
      </c>
      <c r="B47" s="9">
        <v>43918</v>
      </c>
      <c r="C47" s="9" t="s">
        <v>80</v>
      </c>
      <c r="D47" s="8">
        <v>23434</v>
      </c>
      <c r="G47" s="8">
        <f t="shared" si="0"/>
        <v>13</v>
      </c>
    </row>
    <row r="48" spans="1:27" ht="18.75" x14ac:dyDescent="0.3">
      <c r="A48" s="8">
        <v>34</v>
      </c>
      <c r="B48" s="9">
        <v>43919</v>
      </c>
      <c r="C48" s="9" t="s">
        <v>90</v>
      </c>
      <c r="D48" s="8">
        <v>23445</v>
      </c>
      <c r="G48" s="8">
        <f t="shared" si="0"/>
        <v>11</v>
      </c>
    </row>
    <row r="49" spans="1:7" ht="18.75" x14ac:dyDescent="0.3">
      <c r="A49" s="8">
        <v>35</v>
      </c>
      <c r="B49" s="9">
        <v>43920</v>
      </c>
      <c r="C49" s="9" t="s">
        <v>82</v>
      </c>
      <c r="D49" s="8">
        <v>23460</v>
      </c>
      <c r="G49" s="8">
        <f t="shared" si="0"/>
        <v>15</v>
      </c>
    </row>
    <row r="50" spans="1:7" ht="18.75" x14ac:dyDescent="0.3">
      <c r="A50" s="8">
        <v>36</v>
      </c>
      <c r="B50" s="9">
        <v>43921</v>
      </c>
      <c r="C50" s="9" t="s">
        <v>83</v>
      </c>
      <c r="D50" s="8">
        <v>23475</v>
      </c>
      <c r="G50" s="8">
        <f t="shared" si="0"/>
        <v>15</v>
      </c>
    </row>
    <row r="51" spans="1:7" ht="18.75" x14ac:dyDescent="0.3">
      <c r="A51" s="8">
        <v>37</v>
      </c>
      <c r="B51" s="9">
        <v>43922</v>
      </c>
      <c r="C51" s="9" t="s">
        <v>86</v>
      </c>
      <c r="D51" s="8">
        <v>23493</v>
      </c>
      <c r="G51" s="8">
        <f t="shared" si="0"/>
        <v>18</v>
      </c>
    </row>
    <row r="52" spans="1:7" ht="18.75" x14ac:dyDescent="0.3">
      <c r="A52" s="8">
        <v>38</v>
      </c>
      <c r="B52" s="9">
        <v>43923</v>
      </c>
      <c r="C52" s="9" t="s">
        <v>87</v>
      </c>
      <c r="D52" s="8">
        <v>23508</v>
      </c>
      <c r="G52" s="8">
        <f t="shared" si="0"/>
        <v>15</v>
      </c>
    </row>
    <row r="53" spans="1:7" ht="18.75" x14ac:dyDescent="0.3">
      <c r="A53" s="8">
        <v>39</v>
      </c>
      <c r="B53" s="9">
        <v>43924</v>
      </c>
      <c r="C53" s="9" t="s">
        <v>85</v>
      </c>
      <c r="D53" s="8">
        <v>23523</v>
      </c>
      <c r="G53" s="8">
        <f t="shared" si="0"/>
        <v>15</v>
      </c>
    </row>
    <row r="54" spans="1:7" ht="18.75" x14ac:dyDescent="0.3">
      <c r="A54" s="8">
        <v>40</v>
      </c>
      <c r="B54" s="9">
        <v>43925</v>
      </c>
      <c r="C54" s="9" t="s">
        <v>80</v>
      </c>
      <c r="D54" s="8">
        <v>23537</v>
      </c>
      <c r="G54" s="8">
        <f t="shared" si="0"/>
        <v>14</v>
      </c>
    </row>
    <row r="55" spans="1:7" ht="18.75" x14ac:dyDescent="0.3">
      <c r="A55" s="8">
        <v>41</v>
      </c>
      <c r="B55" s="9">
        <v>43926</v>
      </c>
      <c r="C55" s="9" t="s">
        <v>90</v>
      </c>
      <c r="D55" s="8">
        <v>23551</v>
      </c>
      <c r="G55" s="8">
        <f t="shared" si="0"/>
        <v>14</v>
      </c>
    </row>
    <row r="56" spans="1:7" ht="18.75" x14ac:dyDescent="0.3">
      <c r="A56" s="8">
        <v>42</v>
      </c>
      <c r="B56" s="9">
        <v>43927</v>
      </c>
      <c r="C56" s="9" t="s">
        <v>82</v>
      </c>
      <c r="D56" s="8">
        <v>23566</v>
      </c>
      <c r="G56" s="8">
        <f t="shared" si="0"/>
        <v>15</v>
      </c>
    </row>
    <row r="57" spans="1:7" ht="18.75" x14ac:dyDescent="0.3">
      <c r="A57" s="8">
        <v>43</v>
      </c>
      <c r="B57" s="9">
        <v>43928</v>
      </c>
      <c r="C57" s="9" t="s">
        <v>83</v>
      </c>
      <c r="D57" s="8">
        <v>23581</v>
      </c>
      <c r="G57" s="8">
        <f t="shared" si="0"/>
        <v>15</v>
      </c>
    </row>
    <row r="58" spans="1:7" ht="18.75" x14ac:dyDescent="0.3">
      <c r="A58" s="8">
        <v>44</v>
      </c>
      <c r="B58" s="9">
        <v>43929</v>
      </c>
      <c r="C58" s="9" t="s">
        <v>86</v>
      </c>
      <c r="D58" s="8">
        <v>23596</v>
      </c>
      <c r="G58" s="8">
        <f t="shared" si="0"/>
        <v>15</v>
      </c>
    </row>
    <row r="59" spans="1:7" ht="18.75" x14ac:dyDescent="0.3">
      <c r="A59" s="8">
        <v>45</v>
      </c>
      <c r="B59" s="9">
        <v>43930</v>
      </c>
      <c r="C59" s="9" t="s">
        <v>87</v>
      </c>
      <c r="D59" s="8">
        <v>23610</v>
      </c>
      <c r="G59" s="8">
        <f t="shared" si="0"/>
        <v>14</v>
      </c>
    </row>
    <row r="60" spans="1:7" ht="18.75" x14ac:dyDescent="0.3">
      <c r="A60" s="8">
        <v>46</v>
      </c>
      <c r="B60" s="9">
        <v>43931</v>
      </c>
      <c r="C60" s="9" t="s">
        <v>85</v>
      </c>
      <c r="D60" s="8">
        <v>23621</v>
      </c>
      <c r="G60" s="8">
        <f t="shared" si="0"/>
        <v>11</v>
      </c>
    </row>
    <row r="61" spans="1:7" ht="18.75" x14ac:dyDescent="0.3">
      <c r="A61" s="8">
        <v>47</v>
      </c>
      <c r="B61" s="9">
        <v>43932</v>
      </c>
      <c r="C61" s="9" t="s">
        <v>80</v>
      </c>
      <c r="D61" s="8">
        <v>23631</v>
      </c>
      <c r="G61" s="8">
        <f t="shared" si="0"/>
        <v>10</v>
      </c>
    </row>
    <row r="62" spans="1:7" ht="18.75" x14ac:dyDescent="0.3">
      <c r="A62" s="8">
        <v>48</v>
      </c>
      <c r="B62" s="9">
        <v>43933</v>
      </c>
      <c r="C62" s="9" t="s">
        <v>90</v>
      </c>
      <c r="D62" s="8">
        <v>23644</v>
      </c>
      <c r="G62" s="8">
        <f t="shared" si="0"/>
        <v>13</v>
      </c>
    </row>
    <row r="63" spans="1:7" ht="18.75" x14ac:dyDescent="0.3">
      <c r="A63" s="8">
        <v>49</v>
      </c>
      <c r="B63" s="9">
        <v>43934</v>
      </c>
      <c r="C63" s="9" t="s">
        <v>82</v>
      </c>
      <c r="D63" s="8">
        <v>23660</v>
      </c>
      <c r="G63" s="8">
        <f t="shared" si="0"/>
        <v>16</v>
      </c>
    </row>
    <row r="64" spans="1:7" ht="18.75" x14ac:dyDescent="0.3">
      <c r="A64" s="8">
        <v>50</v>
      </c>
      <c r="B64" s="9">
        <v>43935</v>
      </c>
      <c r="C64" s="9" t="s">
        <v>83</v>
      </c>
      <c r="D64" s="8">
        <v>23672</v>
      </c>
      <c r="G64" s="8">
        <f t="shared" si="0"/>
        <v>12</v>
      </c>
    </row>
    <row r="65" spans="1:7" ht="18.75" x14ac:dyDescent="0.3">
      <c r="A65" s="8">
        <v>51</v>
      </c>
      <c r="B65" s="9">
        <v>43936</v>
      </c>
      <c r="C65" s="9" t="s">
        <v>86</v>
      </c>
      <c r="D65" s="8">
        <v>23682</v>
      </c>
      <c r="G65" s="8">
        <f t="shared" si="0"/>
        <v>10</v>
      </c>
    </row>
    <row r="66" spans="1:7" ht="18.75" x14ac:dyDescent="0.3">
      <c r="A66" s="8">
        <v>52</v>
      </c>
      <c r="B66" s="9">
        <v>43937</v>
      </c>
      <c r="C66" s="9" t="s">
        <v>87</v>
      </c>
      <c r="D66" s="8">
        <v>23694</v>
      </c>
      <c r="G66" s="8">
        <f t="shared" si="0"/>
        <v>12</v>
      </c>
    </row>
    <row r="67" spans="1:7" ht="18.75" x14ac:dyDescent="0.3">
      <c r="A67" s="8">
        <v>53</v>
      </c>
      <c r="B67" s="9">
        <v>43938</v>
      </c>
      <c r="C67" s="9" t="s">
        <v>85</v>
      </c>
      <c r="D67" s="8">
        <v>23710</v>
      </c>
      <c r="G67" s="8">
        <f t="shared" si="0"/>
        <v>16</v>
      </c>
    </row>
    <row r="68" spans="1:7" ht="18.75" x14ac:dyDescent="0.3">
      <c r="A68" s="8">
        <v>54</v>
      </c>
      <c r="B68" s="9">
        <v>43939</v>
      </c>
      <c r="C68" s="9" t="s">
        <v>80</v>
      </c>
      <c r="D68" s="8">
        <v>23724</v>
      </c>
      <c r="G68" s="8">
        <f t="shared" si="0"/>
        <v>14</v>
      </c>
    </row>
    <row r="69" spans="1:7" ht="18.75" x14ac:dyDescent="0.3">
      <c r="A69" s="8">
        <v>55</v>
      </c>
      <c r="B69" s="9">
        <v>43940</v>
      </c>
      <c r="C69" s="9" t="s">
        <v>90</v>
      </c>
      <c r="D69" s="8">
        <v>23736</v>
      </c>
      <c r="G69" s="8">
        <f t="shared" si="0"/>
        <v>12</v>
      </c>
    </row>
    <row r="70" spans="1:7" ht="18.75" x14ac:dyDescent="0.3">
      <c r="A70" s="8">
        <v>56</v>
      </c>
      <c r="B70" s="9">
        <v>43941</v>
      </c>
      <c r="C70" s="9" t="s">
        <v>82</v>
      </c>
      <c r="D70" s="8">
        <v>23748</v>
      </c>
      <c r="G70" s="8">
        <f t="shared" si="0"/>
        <v>12</v>
      </c>
    </row>
    <row r="71" spans="1:7" ht="18.75" x14ac:dyDescent="0.3">
      <c r="A71" s="8">
        <v>57</v>
      </c>
      <c r="B71" s="9">
        <v>43942</v>
      </c>
      <c r="C71" s="9" t="s">
        <v>83</v>
      </c>
      <c r="D71" s="8">
        <v>23760</v>
      </c>
      <c r="G71" s="8">
        <f t="shared" si="0"/>
        <v>12</v>
      </c>
    </row>
    <row r="72" spans="1:7" ht="18.75" x14ac:dyDescent="0.3">
      <c r="A72" s="8">
        <v>58</v>
      </c>
      <c r="B72" s="9">
        <v>43943</v>
      </c>
      <c r="C72" s="9" t="s">
        <v>86</v>
      </c>
      <c r="D72" s="8">
        <v>23774</v>
      </c>
      <c r="G72" s="8">
        <f t="shared" ref="G72:G135" si="1">(D72-D71)/(B72-B71)</f>
        <v>14</v>
      </c>
    </row>
    <row r="73" spans="1:7" ht="18.75" x14ac:dyDescent="0.3">
      <c r="A73" s="8">
        <v>59</v>
      </c>
      <c r="B73" s="9">
        <v>43944</v>
      </c>
      <c r="C73" s="9" t="s">
        <v>87</v>
      </c>
      <c r="D73" s="8">
        <v>23787</v>
      </c>
      <c r="G73" s="8">
        <f t="shared" si="1"/>
        <v>13</v>
      </c>
    </row>
    <row r="74" spans="1:7" ht="18.75" x14ac:dyDescent="0.3">
      <c r="A74" s="8">
        <v>60</v>
      </c>
      <c r="B74" s="9">
        <v>43945</v>
      </c>
      <c r="C74" s="9" t="s">
        <v>85</v>
      </c>
      <c r="D74" s="8">
        <v>23800</v>
      </c>
      <c r="G74" s="8">
        <f t="shared" si="1"/>
        <v>13</v>
      </c>
    </row>
    <row r="75" spans="1:7" ht="18.75" x14ac:dyDescent="0.3">
      <c r="A75" s="8">
        <v>61</v>
      </c>
      <c r="B75" s="9">
        <v>43946</v>
      </c>
      <c r="C75" s="9" t="s">
        <v>80</v>
      </c>
      <c r="D75" s="8">
        <v>23812</v>
      </c>
      <c r="G75" s="8">
        <f t="shared" si="1"/>
        <v>12</v>
      </c>
    </row>
    <row r="76" spans="1:7" ht="18.75" x14ac:dyDescent="0.3">
      <c r="A76" s="8">
        <v>62</v>
      </c>
      <c r="B76" s="9">
        <v>43947</v>
      </c>
      <c r="C76" s="9" t="s">
        <v>90</v>
      </c>
      <c r="D76" s="8">
        <v>23824</v>
      </c>
      <c r="G76" s="8">
        <f t="shared" si="1"/>
        <v>12</v>
      </c>
    </row>
    <row r="77" spans="1:7" ht="18.75" x14ac:dyDescent="0.3">
      <c r="A77" s="8">
        <v>63</v>
      </c>
      <c r="B77" s="9">
        <v>43948</v>
      </c>
      <c r="C77" s="9" t="s">
        <v>82</v>
      </c>
      <c r="D77" s="8">
        <v>23838</v>
      </c>
      <c r="G77" s="8">
        <f t="shared" si="1"/>
        <v>14</v>
      </c>
    </row>
    <row r="78" spans="1:7" ht="18.75" x14ac:dyDescent="0.3">
      <c r="A78" s="8">
        <v>64</v>
      </c>
      <c r="B78" s="9">
        <v>43949</v>
      </c>
      <c r="C78" s="9" t="s">
        <v>83</v>
      </c>
      <c r="D78" s="8">
        <v>23849</v>
      </c>
      <c r="G78" s="8">
        <f t="shared" si="1"/>
        <v>11</v>
      </c>
    </row>
    <row r="79" spans="1:7" ht="18.75" x14ac:dyDescent="0.3">
      <c r="A79" s="8">
        <v>65</v>
      </c>
      <c r="B79" s="9">
        <v>43950</v>
      </c>
      <c r="C79" s="9" t="s">
        <v>86</v>
      </c>
      <c r="D79" s="8">
        <v>23862</v>
      </c>
      <c r="G79" s="8">
        <f t="shared" si="1"/>
        <v>13</v>
      </c>
    </row>
    <row r="80" spans="1:7" ht="18.75" x14ac:dyDescent="0.3">
      <c r="A80" s="8">
        <v>66</v>
      </c>
      <c r="B80" s="9">
        <v>43951</v>
      </c>
      <c r="C80" s="9" t="s">
        <v>87</v>
      </c>
      <c r="D80" s="8">
        <v>23874</v>
      </c>
      <c r="G80" s="8">
        <f t="shared" si="1"/>
        <v>12</v>
      </c>
    </row>
    <row r="81" spans="1:7" ht="18.75" x14ac:dyDescent="0.3">
      <c r="A81" s="8">
        <v>67</v>
      </c>
      <c r="B81" s="9">
        <v>43952</v>
      </c>
      <c r="C81" s="9" t="s">
        <v>85</v>
      </c>
      <c r="D81" s="8">
        <v>23886</v>
      </c>
      <c r="G81" s="8">
        <f t="shared" si="1"/>
        <v>12</v>
      </c>
    </row>
    <row r="82" spans="1:7" ht="18.75" x14ac:dyDescent="0.3">
      <c r="A82" s="8">
        <v>68</v>
      </c>
      <c r="B82" s="9">
        <v>43953</v>
      </c>
      <c r="C82" s="9" t="s">
        <v>80</v>
      </c>
      <c r="D82" s="8">
        <v>23898</v>
      </c>
      <c r="G82" s="8">
        <f t="shared" si="1"/>
        <v>12</v>
      </c>
    </row>
    <row r="83" spans="1:7" ht="18.75" x14ac:dyDescent="0.3">
      <c r="A83" s="8">
        <v>69</v>
      </c>
      <c r="B83" s="9">
        <v>43954</v>
      </c>
      <c r="C83" s="9" t="s">
        <v>90</v>
      </c>
      <c r="D83" s="8">
        <v>23911</v>
      </c>
      <c r="G83" s="8">
        <f t="shared" si="1"/>
        <v>13</v>
      </c>
    </row>
    <row r="84" spans="1:7" ht="18.75" x14ac:dyDescent="0.3">
      <c r="A84" s="8">
        <v>70</v>
      </c>
      <c r="B84" s="9">
        <v>43955</v>
      </c>
      <c r="C84" s="9" t="s">
        <v>82</v>
      </c>
      <c r="D84" s="8">
        <v>23926</v>
      </c>
      <c r="G84" s="8">
        <f t="shared" si="1"/>
        <v>15</v>
      </c>
    </row>
    <row r="85" spans="1:7" ht="18.75" x14ac:dyDescent="0.3">
      <c r="A85" s="8">
        <v>71</v>
      </c>
      <c r="B85" s="9">
        <v>43956</v>
      </c>
      <c r="C85" s="9" t="s">
        <v>83</v>
      </c>
      <c r="D85" s="8">
        <v>23940</v>
      </c>
      <c r="G85" s="8">
        <f t="shared" si="1"/>
        <v>14</v>
      </c>
    </row>
    <row r="86" spans="1:7" ht="18.75" x14ac:dyDescent="0.3">
      <c r="A86" s="8">
        <v>72</v>
      </c>
      <c r="B86" s="9">
        <v>43957</v>
      </c>
      <c r="C86" s="9" t="s">
        <v>86</v>
      </c>
      <c r="D86" s="8">
        <v>23955</v>
      </c>
      <c r="G86" s="8">
        <f t="shared" si="1"/>
        <v>15</v>
      </c>
    </row>
    <row r="87" spans="1:7" ht="18.75" x14ac:dyDescent="0.3">
      <c r="A87" s="8">
        <v>73</v>
      </c>
      <c r="B87" s="9">
        <v>43958</v>
      </c>
      <c r="C87" s="9" t="s">
        <v>87</v>
      </c>
      <c r="D87" s="8">
        <v>23980</v>
      </c>
      <c r="G87" s="8">
        <f t="shared" si="1"/>
        <v>25</v>
      </c>
    </row>
    <row r="88" spans="1:7" ht="18.75" x14ac:dyDescent="0.3">
      <c r="A88" s="8">
        <v>74</v>
      </c>
      <c r="B88" s="9">
        <v>43959</v>
      </c>
      <c r="C88" s="9" t="s">
        <v>85</v>
      </c>
      <c r="D88" s="8">
        <v>23998</v>
      </c>
      <c r="G88" s="8">
        <f t="shared" si="1"/>
        <v>18</v>
      </c>
    </row>
    <row r="89" spans="1:7" ht="18.75" x14ac:dyDescent="0.3">
      <c r="A89" s="8">
        <v>75</v>
      </c>
      <c r="B89" s="9">
        <v>43960</v>
      </c>
      <c r="C89" s="9" t="s">
        <v>80</v>
      </c>
      <c r="D89" s="8">
        <v>24020</v>
      </c>
      <c r="G89" s="8">
        <f t="shared" si="1"/>
        <v>22</v>
      </c>
    </row>
    <row r="90" spans="1:7" ht="18.75" x14ac:dyDescent="0.3">
      <c r="A90" s="8">
        <v>76</v>
      </c>
      <c r="B90" s="9">
        <v>43961</v>
      </c>
      <c r="C90" s="9" t="s">
        <v>90</v>
      </c>
      <c r="D90" s="8">
        <v>24038</v>
      </c>
      <c r="G90" s="8">
        <f t="shared" si="1"/>
        <v>18</v>
      </c>
    </row>
    <row r="91" spans="1:7" ht="18.75" x14ac:dyDescent="0.3">
      <c r="A91" s="8">
        <v>77</v>
      </c>
      <c r="B91" s="9">
        <v>43962</v>
      </c>
      <c r="C91" s="9" t="s">
        <v>82</v>
      </c>
      <c r="D91" s="8">
        <v>24055</v>
      </c>
      <c r="G91" s="8">
        <f t="shared" si="1"/>
        <v>17</v>
      </c>
    </row>
    <row r="92" spans="1:7" ht="18.75" x14ac:dyDescent="0.3">
      <c r="A92" s="8">
        <v>78</v>
      </c>
      <c r="B92" s="9">
        <v>43963</v>
      </c>
      <c r="C92" s="9" t="s">
        <v>83</v>
      </c>
      <c r="D92" s="8">
        <v>24075</v>
      </c>
      <c r="G92" s="8">
        <f t="shared" si="1"/>
        <v>20</v>
      </c>
    </row>
    <row r="93" spans="1:7" ht="18.75" x14ac:dyDescent="0.3">
      <c r="A93" s="8">
        <v>79</v>
      </c>
      <c r="B93" s="9">
        <v>43964</v>
      </c>
      <c r="C93" s="9" t="s">
        <v>86</v>
      </c>
      <c r="D93" s="8">
        <v>24095</v>
      </c>
      <c r="G93" s="8">
        <f t="shared" si="1"/>
        <v>20</v>
      </c>
    </row>
    <row r="94" spans="1:7" ht="18.75" x14ac:dyDescent="0.3">
      <c r="A94" s="8">
        <v>80</v>
      </c>
      <c r="B94" s="9">
        <v>43965</v>
      </c>
      <c r="C94" s="9" t="s">
        <v>87</v>
      </c>
      <c r="D94" s="8">
        <v>24115</v>
      </c>
      <c r="G94" s="8">
        <f t="shared" si="1"/>
        <v>20</v>
      </c>
    </row>
    <row r="95" spans="1:7" ht="18.75" x14ac:dyDescent="0.3">
      <c r="A95" s="8">
        <v>81</v>
      </c>
      <c r="B95" s="9">
        <v>43966</v>
      </c>
      <c r="C95" s="9" t="s">
        <v>85</v>
      </c>
      <c r="D95" s="8">
        <v>24130</v>
      </c>
      <c r="G95" s="8">
        <f t="shared" si="1"/>
        <v>15</v>
      </c>
    </row>
    <row r="96" spans="1:7" ht="18.75" x14ac:dyDescent="0.3">
      <c r="A96" s="8">
        <v>82</v>
      </c>
      <c r="B96" s="9">
        <v>43967</v>
      </c>
      <c r="C96" s="9" t="s">
        <v>80</v>
      </c>
      <c r="D96" s="8">
        <v>24148</v>
      </c>
      <c r="G96" s="8">
        <f t="shared" si="1"/>
        <v>18</v>
      </c>
    </row>
    <row r="97" spans="1:8" ht="18.75" x14ac:dyDescent="0.3">
      <c r="A97" s="8">
        <v>83</v>
      </c>
      <c r="B97" s="9">
        <v>43968</v>
      </c>
      <c r="C97" s="9" t="s">
        <v>90</v>
      </c>
      <c r="D97" s="8">
        <v>24166</v>
      </c>
      <c r="G97" s="8">
        <f t="shared" si="1"/>
        <v>18</v>
      </c>
      <c r="H97" t="s">
        <v>93</v>
      </c>
    </row>
    <row r="98" spans="1:8" ht="18.75" x14ac:dyDescent="0.3">
      <c r="A98" s="8">
        <v>84</v>
      </c>
      <c r="B98" s="9">
        <v>43969</v>
      </c>
      <c r="C98" s="9" t="s">
        <v>82</v>
      </c>
      <c r="D98" s="8">
        <v>24175</v>
      </c>
      <c r="G98" s="8">
        <f t="shared" si="1"/>
        <v>9</v>
      </c>
      <c r="H98" t="s">
        <v>92</v>
      </c>
    </row>
    <row r="99" spans="1:8" ht="18.75" x14ac:dyDescent="0.3">
      <c r="A99" s="8">
        <v>85</v>
      </c>
      <c r="B99" s="9">
        <v>43970</v>
      </c>
      <c r="C99" s="9" t="s">
        <v>83</v>
      </c>
      <c r="D99" s="8">
        <v>24190</v>
      </c>
      <c r="G99" s="8">
        <f t="shared" si="1"/>
        <v>15</v>
      </c>
    </row>
    <row r="100" spans="1:8" ht="18.75" x14ac:dyDescent="0.3">
      <c r="A100" s="8">
        <v>86</v>
      </c>
      <c r="B100" s="9">
        <v>43971</v>
      </c>
      <c r="C100" s="9" t="s">
        <v>86</v>
      </c>
      <c r="D100" s="8">
        <v>24205</v>
      </c>
      <c r="G100" s="8">
        <f t="shared" si="1"/>
        <v>15</v>
      </c>
    </row>
    <row r="101" spans="1:8" ht="18.75" x14ac:dyDescent="0.3">
      <c r="A101" s="8">
        <v>87</v>
      </c>
      <c r="B101" s="9">
        <v>43972</v>
      </c>
      <c r="C101" s="9" t="s">
        <v>87</v>
      </c>
      <c r="D101" s="8">
        <v>24220</v>
      </c>
      <c r="G101" s="8">
        <f t="shared" si="1"/>
        <v>15</v>
      </c>
    </row>
    <row r="102" spans="1:8" ht="18.75" x14ac:dyDescent="0.3">
      <c r="A102" s="8">
        <v>88</v>
      </c>
      <c r="B102" s="9">
        <v>43973</v>
      </c>
      <c r="C102" s="9" t="s">
        <v>85</v>
      </c>
      <c r="D102" s="8">
        <v>24235</v>
      </c>
      <c r="G102" s="8">
        <f t="shared" si="1"/>
        <v>15</v>
      </c>
    </row>
    <row r="103" spans="1:8" ht="18.75" x14ac:dyDescent="0.3">
      <c r="A103" s="8">
        <v>89</v>
      </c>
      <c r="B103" s="9">
        <v>43974</v>
      </c>
      <c r="C103" s="9" t="s">
        <v>80</v>
      </c>
      <c r="D103" s="8">
        <v>24245</v>
      </c>
      <c r="G103" s="8">
        <f t="shared" si="1"/>
        <v>10</v>
      </c>
    </row>
    <row r="104" spans="1:8" ht="18.75" x14ac:dyDescent="0.3">
      <c r="A104" s="8">
        <v>90</v>
      </c>
      <c r="B104" s="9">
        <v>43975</v>
      </c>
      <c r="C104" s="9" t="s">
        <v>90</v>
      </c>
      <c r="D104" s="8">
        <v>24255</v>
      </c>
      <c r="G104" s="8">
        <f t="shared" si="1"/>
        <v>10</v>
      </c>
    </row>
    <row r="105" spans="1:8" ht="18.75" x14ac:dyDescent="0.3">
      <c r="A105" s="8">
        <v>91</v>
      </c>
      <c r="B105" s="9">
        <v>43976</v>
      </c>
      <c r="C105" s="9" t="s">
        <v>82</v>
      </c>
      <c r="D105" s="8">
        <v>24270</v>
      </c>
      <c r="G105" s="8">
        <f t="shared" si="1"/>
        <v>15</v>
      </c>
    </row>
    <row r="106" spans="1:8" ht="18.75" x14ac:dyDescent="0.3">
      <c r="A106" s="8">
        <v>92</v>
      </c>
      <c r="B106" s="9">
        <v>43977</v>
      </c>
      <c r="C106" s="9" t="s">
        <v>83</v>
      </c>
      <c r="D106" s="8">
        <v>24280</v>
      </c>
      <c r="G106" s="8">
        <f t="shared" si="1"/>
        <v>10</v>
      </c>
    </row>
    <row r="107" spans="1:8" ht="18.75" x14ac:dyDescent="0.3">
      <c r="A107" s="8">
        <v>93</v>
      </c>
      <c r="B107" s="9">
        <v>43978</v>
      </c>
      <c r="C107" s="9" t="s">
        <v>86</v>
      </c>
      <c r="D107" s="8">
        <v>24290</v>
      </c>
      <c r="G107" s="8">
        <f t="shared" si="1"/>
        <v>10</v>
      </c>
    </row>
    <row r="108" spans="1:8" ht="18.75" x14ac:dyDescent="0.3">
      <c r="A108" s="8">
        <v>94</v>
      </c>
      <c r="B108" s="9">
        <v>43979</v>
      </c>
      <c r="C108" s="9" t="s">
        <v>87</v>
      </c>
      <c r="D108" s="8">
        <v>24305</v>
      </c>
      <c r="G108" s="8">
        <f t="shared" si="1"/>
        <v>15</v>
      </c>
    </row>
    <row r="109" spans="1:8" ht="18.75" x14ac:dyDescent="0.3">
      <c r="A109" s="8">
        <v>95</v>
      </c>
      <c r="B109" s="9">
        <v>43980</v>
      </c>
      <c r="C109" s="9" t="s">
        <v>85</v>
      </c>
      <c r="D109" s="8">
        <v>24320</v>
      </c>
      <c r="G109" s="8">
        <f t="shared" si="1"/>
        <v>15</v>
      </c>
    </row>
    <row r="110" spans="1:8" ht="18.75" x14ac:dyDescent="0.3">
      <c r="A110" s="8">
        <v>96</v>
      </c>
      <c r="B110" s="9">
        <v>43981</v>
      </c>
      <c r="C110" s="9" t="s">
        <v>80</v>
      </c>
      <c r="D110" s="8">
        <v>24334</v>
      </c>
      <c r="G110" s="8">
        <f t="shared" si="1"/>
        <v>14</v>
      </c>
    </row>
    <row r="111" spans="1:8" ht="18.75" x14ac:dyDescent="0.3">
      <c r="A111" s="8">
        <v>97</v>
      </c>
      <c r="B111" s="9">
        <v>43982</v>
      </c>
      <c r="C111" s="9" t="s">
        <v>90</v>
      </c>
      <c r="D111" s="8">
        <v>24343</v>
      </c>
      <c r="G111" s="8">
        <f t="shared" si="1"/>
        <v>9</v>
      </c>
    </row>
    <row r="112" spans="1:8" ht="18.75" x14ac:dyDescent="0.3">
      <c r="A112" s="8">
        <v>98</v>
      </c>
      <c r="B112" s="9">
        <v>43983</v>
      </c>
      <c r="C112" s="9" t="s">
        <v>82</v>
      </c>
      <c r="D112" s="8">
        <v>24353</v>
      </c>
      <c r="G112" s="8">
        <f t="shared" si="1"/>
        <v>10</v>
      </c>
    </row>
    <row r="113" spans="1:7" ht="18.75" x14ac:dyDescent="0.3">
      <c r="A113" s="8">
        <v>99</v>
      </c>
      <c r="B113" s="9">
        <v>43984</v>
      </c>
      <c r="C113" s="9" t="s">
        <v>83</v>
      </c>
      <c r="D113" s="8">
        <v>24363</v>
      </c>
      <c r="G113" s="8">
        <f t="shared" si="1"/>
        <v>10</v>
      </c>
    </row>
    <row r="114" spans="1:7" ht="18.75" x14ac:dyDescent="0.3">
      <c r="A114" s="8">
        <v>100</v>
      </c>
      <c r="B114" s="9">
        <v>43985</v>
      </c>
      <c r="C114" s="9" t="s">
        <v>86</v>
      </c>
      <c r="D114" s="8">
        <v>24375</v>
      </c>
      <c r="G114" s="8">
        <f t="shared" si="1"/>
        <v>12</v>
      </c>
    </row>
    <row r="115" spans="1:7" ht="18.75" x14ac:dyDescent="0.3">
      <c r="A115" s="8">
        <v>101</v>
      </c>
      <c r="B115" s="9">
        <v>43986</v>
      </c>
      <c r="C115" s="9" t="s">
        <v>87</v>
      </c>
      <c r="D115" s="8">
        <v>24390</v>
      </c>
      <c r="G115" s="8">
        <f t="shared" si="1"/>
        <v>15</v>
      </c>
    </row>
    <row r="116" spans="1:7" ht="18.75" x14ac:dyDescent="0.3">
      <c r="A116" s="8">
        <v>102</v>
      </c>
      <c r="B116" s="9">
        <v>43987</v>
      </c>
      <c r="C116" s="9" t="s">
        <v>85</v>
      </c>
      <c r="D116" s="8">
        <v>24405</v>
      </c>
      <c r="G116" s="8">
        <f t="shared" si="1"/>
        <v>15</v>
      </c>
    </row>
    <row r="117" spans="1:7" ht="18.75" x14ac:dyDescent="0.3">
      <c r="A117" s="8">
        <v>103</v>
      </c>
      <c r="B117" s="9">
        <v>43988</v>
      </c>
      <c r="C117" s="9" t="s">
        <v>80</v>
      </c>
      <c r="D117" s="8">
        <v>24425</v>
      </c>
      <c r="G117" s="8">
        <f t="shared" si="1"/>
        <v>20</v>
      </c>
    </row>
    <row r="118" spans="1:7" ht="18.75" x14ac:dyDescent="0.3">
      <c r="A118" s="8">
        <v>104</v>
      </c>
      <c r="B118" s="9">
        <v>43989</v>
      </c>
      <c r="C118" s="9" t="s">
        <v>90</v>
      </c>
      <c r="D118" s="8">
        <v>24440</v>
      </c>
      <c r="G118" s="8">
        <f t="shared" si="1"/>
        <v>15</v>
      </c>
    </row>
    <row r="119" spans="1:7" ht="18.75" x14ac:dyDescent="0.3">
      <c r="A119" s="8">
        <v>105</v>
      </c>
      <c r="B119" s="9">
        <v>43990</v>
      </c>
      <c r="C119" s="9" t="s">
        <v>82</v>
      </c>
      <c r="D119" s="8">
        <v>24452</v>
      </c>
      <c r="G119" s="8">
        <f t="shared" si="1"/>
        <v>12</v>
      </c>
    </row>
    <row r="120" spans="1:7" ht="18.75" x14ac:dyDescent="0.3">
      <c r="A120" s="8">
        <v>106</v>
      </c>
      <c r="B120" s="9">
        <v>43991</v>
      </c>
      <c r="C120" s="9" t="s">
        <v>83</v>
      </c>
      <c r="D120" s="8">
        <v>24464</v>
      </c>
      <c r="G120" s="8">
        <f t="shared" si="1"/>
        <v>12</v>
      </c>
    </row>
    <row r="121" spans="1:7" ht="18.75" x14ac:dyDescent="0.3">
      <c r="A121" s="8">
        <v>107</v>
      </c>
      <c r="B121" s="9">
        <v>43992</v>
      </c>
      <c r="C121" s="9" t="s">
        <v>86</v>
      </c>
      <c r="D121" s="8">
        <v>24476</v>
      </c>
      <c r="G121" s="8">
        <f t="shared" si="1"/>
        <v>12</v>
      </c>
    </row>
    <row r="122" spans="1:7" ht="18.75" x14ac:dyDescent="0.3">
      <c r="A122" s="8">
        <v>108</v>
      </c>
      <c r="B122" s="9">
        <v>43993</v>
      </c>
      <c r="C122" s="9" t="s">
        <v>87</v>
      </c>
      <c r="D122" s="8">
        <v>24488</v>
      </c>
      <c r="G122" s="8">
        <f t="shared" si="1"/>
        <v>12</v>
      </c>
    </row>
    <row r="123" spans="1:7" ht="18.75" x14ac:dyDescent="0.3">
      <c r="A123" s="8">
        <v>109</v>
      </c>
      <c r="B123" s="9">
        <v>43994</v>
      </c>
      <c r="C123" s="9" t="s">
        <v>85</v>
      </c>
      <c r="D123" s="8">
        <v>24500</v>
      </c>
      <c r="G123" s="8">
        <f t="shared" si="1"/>
        <v>12</v>
      </c>
    </row>
    <row r="124" spans="1:7" ht="18.75" x14ac:dyDescent="0.3">
      <c r="A124" s="8">
        <v>110</v>
      </c>
      <c r="B124" s="9">
        <v>43995</v>
      </c>
      <c r="C124" s="9" t="s">
        <v>80</v>
      </c>
      <c r="D124" s="8">
        <v>24511</v>
      </c>
      <c r="G124" s="8">
        <f t="shared" si="1"/>
        <v>11</v>
      </c>
    </row>
    <row r="125" spans="1:7" ht="18.75" x14ac:dyDescent="0.3">
      <c r="A125" s="8">
        <v>111</v>
      </c>
      <c r="B125" s="9">
        <v>43996</v>
      </c>
      <c r="C125" s="9" t="s">
        <v>90</v>
      </c>
      <c r="D125" s="8">
        <v>24522</v>
      </c>
      <c r="G125" s="8">
        <f t="shared" si="1"/>
        <v>11</v>
      </c>
    </row>
    <row r="126" spans="1:7" ht="18.75" x14ac:dyDescent="0.3">
      <c r="A126" s="8">
        <v>112</v>
      </c>
      <c r="B126" s="9">
        <v>43997</v>
      </c>
      <c r="C126" s="9" t="s">
        <v>82</v>
      </c>
      <c r="D126" s="8">
        <v>24533</v>
      </c>
      <c r="G126" s="8">
        <f t="shared" si="1"/>
        <v>11</v>
      </c>
    </row>
    <row r="127" spans="1:7" ht="18.75" x14ac:dyDescent="0.3">
      <c r="A127" s="8">
        <v>113</v>
      </c>
      <c r="B127" s="9">
        <v>43998</v>
      </c>
      <c r="C127" s="9" t="s">
        <v>83</v>
      </c>
      <c r="D127" s="8">
        <v>24544</v>
      </c>
      <c r="G127" s="8">
        <f t="shared" si="1"/>
        <v>11</v>
      </c>
    </row>
    <row r="128" spans="1:7" ht="18.75" x14ac:dyDescent="0.3">
      <c r="A128" s="8">
        <v>114</v>
      </c>
      <c r="B128" s="9">
        <v>43999</v>
      </c>
      <c r="C128" s="9" t="s">
        <v>86</v>
      </c>
      <c r="D128" s="8">
        <v>24555</v>
      </c>
      <c r="G128" s="8">
        <f t="shared" si="1"/>
        <v>11</v>
      </c>
    </row>
    <row r="129" spans="1:7" ht="18.75" x14ac:dyDescent="0.3">
      <c r="A129" s="8">
        <v>115</v>
      </c>
      <c r="B129" s="9">
        <v>44000</v>
      </c>
      <c r="C129" s="9" t="s">
        <v>87</v>
      </c>
      <c r="D129" s="8">
        <v>24566</v>
      </c>
      <c r="G129" s="8">
        <f t="shared" si="1"/>
        <v>11</v>
      </c>
    </row>
    <row r="130" spans="1:7" ht="18.75" x14ac:dyDescent="0.3">
      <c r="A130" s="8">
        <v>116</v>
      </c>
      <c r="B130" s="9">
        <v>44001</v>
      </c>
      <c r="C130" s="9" t="s">
        <v>85</v>
      </c>
      <c r="D130" s="8">
        <v>24577</v>
      </c>
      <c r="G130" s="8">
        <f t="shared" si="1"/>
        <v>11</v>
      </c>
    </row>
    <row r="131" spans="1:7" ht="18.75" x14ac:dyDescent="0.3">
      <c r="A131" s="8">
        <v>117</v>
      </c>
      <c r="B131" s="9">
        <v>44002</v>
      </c>
      <c r="C131" s="9" t="s">
        <v>80</v>
      </c>
      <c r="D131" s="8">
        <v>24588</v>
      </c>
      <c r="G131" s="8">
        <f t="shared" si="1"/>
        <v>11</v>
      </c>
    </row>
    <row r="132" spans="1:7" ht="18.75" x14ac:dyDescent="0.3">
      <c r="A132" s="8">
        <v>118</v>
      </c>
      <c r="B132" s="9">
        <v>44003</v>
      </c>
      <c r="C132" s="9" t="s">
        <v>90</v>
      </c>
      <c r="D132" s="8">
        <v>24599</v>
      </c>
      <c r="G132" s="8">
        <f t="shared" si="1"/>
        <v>11</v>
      </c>
    </row>
    <row r="133" spans="1:7" ht="18.75" x14ac:dyDescent="0.3">
      <c r="A133" s="8">
        <v>119</v>
      </c>
      <c r="B133" s="9">
        <v>44004</v>
      </c>
      <c r="C133" s="9" t="s">
        <v>82</v>
      </c>
      <c r="D133" s="8">
        <v>24611</v>
      </c>
      <c r="G133" s="8">
        <f t="shared" si="1"/>
        <v>12</v>
      </c>
    </row>
    <row r="134" spans="1:7" ht="18.75" x14ac:dyDescent="0.3">
      <c r="A134" s="8">
        <v>120</v>
      </c>
      <c r="B134" s="9">
        <v>44005</v>
      </c>
      <c r="C134" s="9" t="s">
        <v>83</v>
      </c>
      <c r="D134" s="8">
        <v>24624</v>
      </c>
      <c r="G134" s="8">
        <f t="shared" si="1"/>
        <v>13</v>
      </c>
    </row>
    <row r="135" spans="1:7" ht="18.75" x14ac:dyDescent="0.3">
      <c r="A135" s="8">
        <v>121</v>
      </c>
      <c r="B135" s="9">
        <v>44006</v>
      </c>
      <c r="C135" s="9" t="s">
        <v>86</v>
      </c>
      <c r="D135" s="8">
        <v>24637</v>
      </c>
      <c r="G135" s="8">
        <f t="shared" si="1"/>
        <v>13</v>
      </c>
    </row>
    <row r="136" spans="1:7" ht="18.75" x14ac:dyDescent="0.3">
      <c r="A136" s="8">
        <v>122</v>
      </c>
      <c r="B136" s="9">
        <v>44007</v>
      </c>
      <c r="C136" s="9" t="s">
        <v>87</v>
      </c>
      <c r="D136" s="8">
        <v>24650</v>
      </c>
      <c r="G136" s="8">
        <f t="shared" ref="G136:G190" si="2">(D136-D135)/(B136-B135)</f>
        <v>13</v>
      </c>
    </row>
    <row r="137" spans="1:7" ht="18.75" x14ac:dyDescent="0.3">
      <c r="A137" s="8">
        <v>123</v>
      </c>
      <c r="B137" s="9">
        <v>44008</v>
      </c>
      <c r="C137" s="9" t="s">
        <v>85</v>
      </c>
      <c r="D137" s="8">
        <v>24666</v>
      </c>
      <c r="G137" s="8">
        <f t="shared" si="2"/>
        <v>16</v>
      </c>
    </row>
    <row r="138" spans="1:7" ht="18.75" x14ac:dyDescent="0.3">
      <c r="A138" s="8">
        <v>124</v>
      </c>
      <c r="B138" s="9">
        <v>44009</v>
      </c>
      <c r="C138" s="9" t="s">
        <v>80</v>
      </c>
      <c r="D138" s="8">
        <v>24677</v>
      </c>
      <c r="G138" s="8">
        <f t="shared" si="2"/>
        <v>11</v>
      </c>
    </row>
    <row r="139" spans="1:7" ht="18.75" x14ac:dyDescent="0.3">
      <c r="A139" s="8">
        <v>125</v>
      </c>
      <c r="B139" s="9">
        <v>44010</v>
      </c>
      <c r="C139" s="9" t="s">
        <v>90</v>
      </c>
      <c r="D139" s="8">
        <v>24688</v>
      </c>
      <c r="G139" s="8">
        <f t="shared" si="2"/>
        <v>11</v>
      </c>
    </row>
    <row r="140" spans="1:7" ht="18.75" x14ac:dyDescent="0.3">
      <c r="A140" s="8">
        <v>126</v>
      </c>
      <c r="B140" s="9">
        <v>44011</v>
      </c>
      <c r="C140" s="9" t="s">
        <v>82</v>
      </c>
      <c r="D140" s="8">
        <v>24699</v>
      </c>
      <c r="G140" s="8">
        <f t="shared" si="2"/>
        <v>11</v>
      </c>
    </row>
    <row r="141" spans="1:7" ht="18.75" x14ac:dyDescent="0.3">
      <c r="A141" s="8">
        <v>127</v>
      </c>
      <c r="B141" s="9">
        <v>44012</v>
      </c>
      <c r="C141" s="9" t="s">
        <v>83</v>
      </c>
      <c r="D141" s="8">
        <v>24710</v>
      </c>
      <c r="G141" s="8">
        <f t="shared" si="2"/>
        <v>11</v>
      </c>
    </row>
    <row r="142" spans="1:7" ht="18.75" x14ac:dyDescent="0.3">
      <c r="A142" s="8">
        <v>128</v>
      </c>
      <c r="B142" s="9">
        <v>44013</v>
      </c>
      <c r="C142" s="9" t="s">
        <v>86</v>
      </c>
      <c r="D142" s="8">
        <v>24721</v>
      </c>
      <c r="G142" s="8">
        <f t="shared" si="2"/>
        <v>11</v>
      </c>
    </row>
    <row r="143" spans="1:7" ht="18.75" x14ac:dyDescent="0.3">
      <c r="A143" s="8">
        <v>129</v>
      </c>
      <c r="B143" s="9">
        <v>44014</v>
      </c>
      <c r="C143" s="9" t="s">
        <v>87</v>
      </c>
      <c r="D143" s="8">
        <v>24739</v>
      </c>
      <c r="G143" s="8">
        <f t="shared" si="2"/>
        <v>18</v>
      </c>
    </row>
    <row r="144" spans="1:7" ht="18.75" x14ac:dyDescent="0.3">
      <c r="A144" s="8">
        <v>130</v>
      </c>
      <c r="B144" s="9">
        <v>44015</v>
      </c>
      <c r="C144" s="9" t="s">
        <v>85</v>
      </c>
      <c r="D144" s="8">
        <v>24751</v>
      </c>
      <c r="G144" s="8">
        <f t="shared" si="2"/>
        <v>12</v>
      </c>
    </row>
    <row r="145" spans="1:7" ht="18.75" x14ac:dyDescent="0.3">
      <c r="A145" s="8">
        <v>131</v>
      </c>
      <c r="B145" s="9">
        <v>44016</v>
      </c>
      <c r="C145" s="9" t="s">
        <v>80</v>
      </c>
      <c r="D145" s="8">
        <v>24763</v>
      </c>
      <c r="G145" s="8">
        <f t="shared" si="2"/>
        <v>12</v>
      </c>
    </row>
    <row r="146" spans="1:7" ht="18.75" x14ac:dyDescent="0.3">
      <c r="A146" s="8">
        <v>132</v>
      </c>
      <c r="B146" s="9">
        <v>44017</v>
      </c>
      <c r="C146" s="9" t="s">
        <v>90</v>
      </c>
      <c r="D146" s="8">
        <v>24775</v>
      </c>
      <c r="G146" s="8">
        <f t="shared" si="2"/>
        <v>12</v>
      </c>
    </row>
    <row r="147" spans="1:7" ht="18.75" x14ac:dyDescent="0.3">
      <c r="A147" s="8">
        <v>133</v>
      </c>
      <c r="B147" s="9">
        <v>44018</v>
      </c>
      <c r="C147" s="9" t="s">
        <v>82</v>
      </c>
      <c r="D147" s="8">
        <v>24787</v>
      </c>
      <c r="G147" s="8">
        <f t="shared" si="2"/>
        <v>12</v>
      </c>
    </row>
    <row r="148" spans="1:7" ht="18.75" x14ac:dyDescent="0.3">
      <c r="A148" s="8">
        <v>134</v>
      </c>
      <c r="B148" s="9">
        <v>44019</v>
      </c>
      <c r="C148" s="9" t="s">
        <v>83</v>
      </c>
      <c r="D148" s="8">
        <v>24799</v>
      </c>
      <c r="G148" s="8">
        <f t="shared" si="2"/>
        <v>12</v>
      </c>
    </row>
    <row r="149" spans="1:7" ht="18.75" x14ac:dyDescent="0.3">
      <c r="A149" s="8">
        <v>135</v>
      </c>
      <c r="B149" s="9">
        <v>44020</v>
      </c>
      <c r="C149" s="9" t="s">
        <v>86</v>
      </c>
      <c r="D149" s="8">
        <v>24811</v>
      </c>
      <c r="G149" s="8">
        <f t="shared" si="2"/>
        <v>12</v>
      </c>
    </row>
    <row r="150" spans="1:7" ht="18.75" x14ac:dyDescent="0.3">
      <c r="A150" s="8">
        <v>136</v>
      </c>
      <c r="B150" s="9">
        <v>44021</v>
      </c>
      <c r="C150" s="9" t="s">
        <v>87</v>
      </c>
      <c r="D150" s="8">
        <v>24823</v>
      </c>
      <c r="G150" s="8">
        <f t="shared" si="2"/>
        <v>12</v>
      </c>
    </row>
    <row r="151" spans="1:7" ht="18.75" x14ac:dyDescent="0.3">
      <c r="A151" s="8">
        <v>137</v>
      </c>
      <c r="B151" s="9">
        <v>44022</v>
      </c>
      <c r="C151" s="9" t="s">
        <v>85</v>
      </c>
      <c r="D151" s="8">
        <v>24835</v>
      </c>
      <c r="G151" s="8">
        <f t="shared" si="2"/>
        <v>12</v>
      </c>
    </row>
    <row r="152" spans="1:7" ht="18.75" x14ac:dyDescent="0.3">
      <c r="A152" s="8">
        <v>138</v>
      </c>
      <c r="B152" s="9">
        <v>44023</v>
      </c>
      <c r="C152" s="9" t="s">
        <v>80</v>
      </c>
      <c r="D152" s="8">
        <v>24847</v>
      </c>
      <c r="G152" s="8">
        <f t="shared" si="2"/>
        <v>12</v>
      </c>
    </row>
    <row r="153" spans="1:7" ht="18.75" x14ac:dyDescent="0.3">
      <c r="A153" s="8">
        <v>139</v>
      </c>
      <c r="B153" s="9">
        <v>44024</v>
      </c>
      <c r="C153" s="9" t="s">
        <v>90</v>
      </c>
      <c r="D153" s="8">
        <v>24859</v>
      </c>
      <c r="G153" s="8">
        <f t="shared" si="2"/>
        <v>12</v>
      </c>
    </row>
    <row r="154" spans="1:7" ht="18.75" x14ac:dyDescent="0.3">
      <c r="A154" s="8">
        <v>140</v>
      </c>
      <c r="B154" s="9">
        <v>44025</v>
      </c>
      <c r="C154" s="9" t="s">
        <v>82</v>
      </c>
      <c r="D154" s="8">
        <v>24861</v>
      </c>
      <c r="G154" s="8">
        <f t="shared" si="2"/>
        <v>2</v>
      </c>
    </row>
    <row r="155" spans="1:7" ht="18.75" x14ac:dyDescent="0.3">
      <c r="A155" s="8">
        <v>141</v>
      </c>
      <c r="B155" s="9">
        <v>44026</v>
      </c>
      <c r="C155" s="9" t="s">
        <v>83</v>
      </c>
      <c r="D155" s="8">
        <v>24873</v>
      </c>
      <c r="G155" s="8">
        <f t="shared" si="2"/>
        <v>12</v>
      </c>
    </row>
    <row r="156" spans="1:7" ht="18.75" x14ac:dyDescent="0.3">
      <c r="A156" s="8">
        <v>142</v>
      </c>
      <c r="B156" s="9">
        <v>44027</v>
      </c>
      <c r="C156" s="9" t="s">
        <v>86</v>
      </c>
      <c r="D156" s="8">
        <v>24885</v>
      </c>
      <c r="G156" s="8">
        <f t="shared" si="2"/>
        <v>12</v>
      </c>
    </row>
    <row r="157" spans="1:7" ht="18.75" x14ac:dyDescent="0.3">
      <c r="A157" s="8">
        <v>143</v>
      </c>
      <c r="B157" s="9">
        <v>44028</v>
      </c>
      <c r="C157" s="9" t="s">
        <v>87</v>
      </c>
      <c r="D157" s="8">
        <v>24897</v>
      </c>
      <c r="G157" s="8">
        <f t="shared" si="2"/>
        <v>12</v>
      </c>
    </row>
    <row r="158" spans="1:7" ht="18.75" x14ac:dyDescent="0.3">
      <c r="A158" s="8">
        <v>144</v>
      </c>
      <c r="B158" s="9">
        <v>44029</v>
      </c>
      <c r="C158" s="9" t="s">
        <v>85</v>
      </c>
      <c r="D158" s="8">
        <v>24910</v>
      </c>
      <c r="G158" s="8">
        <f t="shared" si="2"/>
        <v>13</v>
      </c>
    </row>
    <row r="159" spans="1:7" ht="18.75" x14ac:dyDescent="0.3">
      <c r="A159" s="8">
        <v>145</v>
      </c>
      <c r="B159" s="9">
        <v>44030</v>
      </c>
      <c r="C159" s="9" t="s">
        <v>80</v>
      </c>
      <c r="D159" s="8">
        <v>24922</v>
      </c>
      <c r="G159" s="8">
        <f t="shared" si="2"/>
        <v>12</v>
      </c>
    </row>
    <row r="160" spans="1:7" ht="18.75" x14ac:dyDescent="0.3">
      <c r="A160" s="8">
        <v>146</v>
      </c>
      <c r="B160" s="9">
        <v>44031</v>
      </c>
      <c r="C160" s="9" t="s">
        <v>90</v>
      </c>
      <c r="D160" s="8">
        <v>24935</v>
      </c>
      <c r="G160" s="8">
        <f t="shared" si="2"/>
        <v>13</v>
      </c>
    </row>
    <row r="161" spans="1:7" ht="18.75" x14ac:dyDescent="0.3">
      <c r="A161" s="8">
        <v>147</v>
      </c>
      <c r="B161" s="9">
        <v>44032</v>
      </c>
      <c r="C161" s="9" t="s">
        <v>82</v>
      </c>
      <c r="D161" s="8">
        <v>24947</v>
      </c>
      <c r="G161" s="8">
        <f t="shared" si="2"/>
        <v>12</v>
      </c>
    </row>
    <row r="162" spans="1:7" ht="18.75" x14ac:dyDescent="0.3">
      <c r="A162" s="8">
        <v>148</v>
      </c>
      <c r="B162" s="9">
        <v>44033</v>
      </c>
      <c r="C162" s="9" t="s">
        <v>83</v>
      </c>
      <c r="D162" s="8">
        <v>24959</v>
      </c>
      <c r="G162" s="8">
        <f t="shared" si="2"/>
        <v>12</v>
      </c>
    </row>
    <row r="163" spans="1:7" ht="18.75" x14ac:dyDescent="0.3">
      <c r="A163" s="8">
        <v>149</v>
      </c>
      <c r="B163" s="9">
        <v>44034</v>
      </c>
      <c r="C163" s="9" t="s">
        <v>86</v>
      </c>
      <c r="D163" s="8">
        <v>24972</v>
      </c>
      <c r="G163" s="8">
        <f t="shared" si="2"/>
        <v>13</v>
      </c>
    </row>
    <row r="164" spans="1:7" ht="18.75" x14ac:dyDescent="0.3">
      <c r="A164" s="8">
        <v>150</v>
      </c>
      <c r="B164" s="9">
        <v>44035</v>
      </c>
      <c r="C164" s="9" t="s">
        <v>87</v>
      </c>
      <c r="D164" s="8">
        <v>24985</v>
      </c>
      <c r="G164" s="8">
        <f t="shared" si="2"/>
        <v>13</v>
      </c>
    </row>
    <row r="165" spans="1:7" ht="18.75" x14ac:dyDescent="0.3">
      <c r="A165" s="8">
        <v>151</v>
      </c>
      <c r="B165" s="9">
        <v>44036</v>
      </c>
      <c r="C165" s="9" t="s">
        <v>85</v>
      </c>
      <c r="D165" s="8">
        <v>24997</v>
      </c>
      <c r="G165" s="8">
        <f t="shared" si="2"/>
        <v>12</v>
      </c>
    </row>
    <row r="166" spans="1:7" ht="18.75" x14ac:dyDescent="0.3">
      <c r="A166" s="8">
        <v>152</v>
      </c>
      <c r="B166" s="9">
        <v>44037</v>
      </c>
      <c r="C166" s="9" t="s">
        <v>80</v>
      </c>
      <c r="D166" s="8">
        <v>25010</v>
      </c>
      <c r="G166" s="8">
        <f t="shared" si="2"/>
        <v>13</v>
      </c>
    </row>
    <row r="167" spans="1:7" ht="18.75" x14ac:dyDescent="0.3">
      <c r="A167" s="8">
        <v>153</v>
      </c>
      <c r="B167" s="9">
        <v>44038</v>
      </c>
      <c r="C167" s="9" t="s">
        <v>90</v>
      </c>
      <c r="D167" s="8">
        <v>25040</v>
      </c>
      <c r="G167" s="8">
        <f t="shared" si="2"/>
        <v>30</v>
      </c>
    </row>
    <row r="168" spans="1:7" ht="18.75" x14ac:dyDescent="0.3">
      <c r="A168" s="8">
        <v>154</v>
      </c>
      <c r="B168" s="9">
        <v>44039</v>
      </c>
      <c r="C168" s="9" t="s">
        <v>82</v>
      </c>
      <c r="D168" s="8">
        <v>25053</v>
      </c>
      <c r="G168" s="8">
        <f t="shared" si="2"/>
        <v>13</v>
      </c>
    </row>
    <row r="169" spans="1:7" ht="18.75" x14ac:dyDescent="0.3">
      <c r="A169" s="8">
        <v>155</v>
      </c>
      <c r="B169" s="9">
        <v>44068</v>
      </c>
      <c r="C169" s="9" t="s">
        <v>83</v>
      </c>
      <c r="D169" s="8">
        <v>25410</v>
      </c>
      <c r="G169" s="8">
        <f t="shared" si="2"/>
        <v>12.310344827586206</v>
      </c>
    </row>
    <row r="170" spans="1:7" ht="18.75" x14ac:dyDescent="0.3">
      <c r="A170" s="8">
        <v>156</v>
      </c>
      <c r="B170" s="9">
        <v>44069</v>
      </c>
      <c r="C170" s="9" t="s">
        <v>86</v>
      </c>
      <c r="D170" s="8">
        <v>25423</v>
      </c>
      <c r="G170" s="8">
        <f t="shared" si="2"/>
        <v>13</v>
      </c>
    </row>
    <row r="171" spans="1:7" ht="18.75" x14ac:dyDescent="0.3">
      <c r="A171" s="8">
        <v>157</v>
      </c>
      <c r="B171" s="9">
        <v>44070</v>
      </c>
      <c r="C171" s="9" t="s">
        <v>87</v>
      </c>
      <c r="D171" s="8">
        <v>25436</v>
      </c>
      <c r="G171" s="8">
        <f t="shared" si="2"/>
        <v>13</v>
      </c>
    </row>
    <row r="172" spans="1:7" ht="18.75" x14ac:dyDescent="0.3">
      <c r="A172" s="8">
        <v>158</v>
      </c>
      <c r="B172" s="9">
        <v>44071</v>
      </c>
      <c r="C172" s="9" t="s">
        <v>85</v>
      </c>
      <c r="D172" s="8">
        <v>25449</v>
      </c>
      <c r="G172" s="8">
        <f t="shared" si="2"/>
        <v>13</v>
      </c>
    </row>
    <row r="173" spans="1:7" ht="18.75" x14ac:dyDescent="0.3">
      <c r="A173" s="8">
        <v>159</v>
      </c>
      <c r="B173" s="9">
        <v>44072</v>
      </c>
      <c r="C173" s="9" t="s">
        <v>80</v>
      </c>
      <c r="D173" s="8">
        <v>25462</v>
      </c>
      <c r="G173" s="8">
        <f t="shared" si="2"/>
        <v>13</v>
      </c>
    </row>
    <row r="174" spans="1:7" ht="18.75" x14ac:dyDescent="0.3">
      <c r="A174" s="8">
        <v>160</v>
      </c>
      <c r="B174" s="9">
        <v>44073</v>
      </c>
      <c r="C174" s="9" t="s">
        <v>90</v>
      </c>
      <c r="D174" s="8">
        <v>25475</v>
      </c>
      <c r="G174" s="8">
        <f t="shared" si="2"/>
        <v>13</v>
      </c>
    </row>
    <row r="175" spans="1:7" ht="18.75" x14ac:dyDescent="0.3">
      <c r="A175" s="8">
        <v>161</v>
      </c>
      <c r="B175" s="9">
        <v>44074</v>
      </c>
      <c r="C175" s="9" t="s">
        <v>82</v>
      </c>
      <c r="D175" s="8">
        <v>25488</v>
      </c>
      <c r="G175" s="8">
        <f t="shared" si="2"/>
        <v>13</v>
      </c>
    </row>
    <row r="176" spans="1:7" ht="18.75" x14ac:dyDescent="0.3">
      <c r="A176" s="8">
        <v>162</v>
      </c>
      <c r="B176" s="9">
        <v>44075</v>
      </c>
      <c r="C176" s="9" t="s">
        <v>83</v>
      </c>
      <c r="D176" s="8">
        <v>25501</v>
      </c>
      <c r="G176" s="8">
        <f t="shared" si="2"/>
        <v>13</v>
      </c>
    </row>
    <row r="177" spans="1:7" ht="18.75" x14ac:dyDescent="0.3">
      <c r="A177" s="8">
        <v>163</v>
      </c>
      <c r="B177" s="9">
        <v>44076</v>
      </c>
      <c r="C177" s="9" t="s">
        <v>86</v>
      </c>
      <c r="D177" s="8">
        <v>25514</v>
      </c>
      <c r="G177" s="8">
        <f t="shared" si="2"/>
        <v>13</v>
      </c>
    </row>
    <row r="178" spans="1:7" ht="18.75" x14ac:dyDescent="0.3">
      <c r="A178" s="8">
        <v>164</v>
      </c>
      <c r="B178" s="9">
        <v>44077</v>
      </c>
      <c r="C178" s="9" t="s">
        <v>87</v>
      </c>
      <c r="D178" s="8">
        <v>25527</v>
      </c>
      <c r="G178" s="8">
        <f t="shared" si="2"/>
        <v>13</v>
      </c>
    </row>
    <row r="179" spans="1:7" ht="18.75" x14ac:dyDescent="0.3">
      <c r="A179" s="8">
        <v>165</v>
      </c>
      <c r="B179" s="9">
        <v>44078</v>
      </c>
      <c r="C179" s="9" t="s">
        <v>85</v>
      </c>
      <c r="D179" s="8">
        <v>25540</v>
      </c>
      <c r="G179" s="8">
        <f t="shared" si="2"/>
        <v>13</v>
      </c>
    </row>
    <row r="180" spans="1:7" ht="18.75" x14ac:dyDescent="0.3">
      <c r="A180" s="8">
        <v>166</v>
      </c>
      <c r="B180" s="9">
        <v>44079</v>
      </c>
      <c r="C180" s="9" t="s">
        <v>80</v>
      </c>
      <c r="D180" s="8">
        <v>25553</v>
      </c>
      <c r="G180" s="8">
        <f t="shared" si="2"/>
        <v>13</v>
      </c>
    </row>
    <row r="181" spans="1:7" ht="18.75" x14ac:dyDescent="0.3">
      <c r="A181" s="8">
        <v>167</v>
      </c>
      <c r="B181" s="9">
        <v>44080</v>
      </c>
      <c r="C181" s="9" t="s">
        <v>90</v>
      </c>
      <c r="D181" s="8">
        <v>25566</v>
      </c>
      <c r="G181" s="8">
        <f t="shared" si="2"/>
        <v>13</v>
      </c>
    </row>
    <row r="182" spans="1:7" ht="18.75" x14ac:dyDescent="0.3">
      <c r="A182" s="8">
        <v>168</v>
      </c>
      <c r="B182" s="9">
        <v>44081</v>
      </c>
      <c r="C182" s="9" t="s">
        <v>82</v>
      </c>
      <c r="D182" s="8">
        <v>25579</v>
      </c>
      <c r="G182" s="8">
        <f t="shared" si="2"/>
        <v>13</v>
      </c>
    </row>
    <row r="183" spans="1:7" ht="18.75" x14ac:dyDescent="0.3">
      <c r="A183" s="8">
        <v>169</v>
      </c>
      <c r="B183" s="9">
        <v>44082</v>
      </c>
      <c r="C183" s="9" t="s">
        <v>83</v>
      </c>
      <c r="D183" s="8">
        <v>25585</v>
      </c>
      <c r="G183" s="8">
        <f t="shared" si="2"/>
        <v>6</v>
      </c>
    </row>
    <row r="184" spans="1:7" ht="18.75" x14ac:dyDescent="0.3">
      <c r="A184" s="8">
        <v>170</v>
      </c>
      <c r="B184" s="9">
        <v>44083</v>
      </c>
      <c r="C184" s="9" t="s">
        <v>86</v>
      </c>
      <c r="D184" s="8">
        <v>25590</v>
      </c>
      <c r="G184" s="8">
        <f t="shared" si="2"/>
        <v>5</v>
      </c>
    </row>
    <row r="185" spans="1:7" ht="18.75" x14ac:dyDescent="0.3">
      <c r="A185" s="8">
        <v>171</v>
      </c>
      <c r="B185" s="9">
        <v>44084</v>
      </c>
      <c r="C185" s="9" t="s">
        <v>87</v>
      </c>
      <c r="D185" s="8">
        <v>25595</v>
      </c>
      <c r="G185" s="8">
        <f t="shared" si="2"/>
        <v>5</v>
      </c>
    </row>
    <row r="186" spans="1:7" ht="18.75" x14ac:dyDescent="0.3">
      <c r="A186" s="8">
        <v>172</v>
      </c>
      <c r="B186" s="9">
        <v>44085</v>
      </c>
      <c r="C186" s="9" t="s">
        <v>85</v>
      </c>
      <c r="D186" s="8">
        <v>25600</v>
      </c>
      <c r="G186" s="8">
        <f t="shared" si="2"/>
        <v>5</v>
      </c>
    </row>
    <row r="187" spans="1:7" ht="18.75" x14ac:dyDescent="0.3">
      <c r="A187" s="8">
        <v>173</v>
      </c>
      <c r="B187" s="9">
        <v>44086</v>
      </c>
      <c r="C187" s="9" t="s">
        <v>80</v>
      </c>
      <c r="D187" s="8">
        <v>25618</v>
      </c>
      <c r="G187" s="8">
        <f t="shared" si="2"/>
        <v>18</v>
      </c>
    </row>
    <row r="188" spans="1:7" ht="18.75" x14ac:dyDescent="0.3">
      <c r="A188" s="8">
        <v>174</v>
      </c>
      <c r="B188" s="9">
        <v>44097</v>
      </c>
      <c r="C188" s="9" t="s">
        <v>83</v>
      </c>
      <c r="D188" s="8">
        <v>25750</v>
      </c>
      <c r="G188" s="8">
        <f t="shared" si="2"/>
        <v>12</v>
      </c>
    </row>
    <row r="189" spans="1:7" ht="18.75" x14ac:dyDescent="0.3">
      <c r="A189" s="8">
        <v>175</v>
      </c>
      <c r="B189" s="9">
        <v>44104</v>
      </c>
      <c r="C189" s="9" t="s">
        <v>86</v>
      </c>
      <c r="D189" s="8">
        <v>25841</v>
      </c>
      <c r="G189" s="8">
        <f t="shared" si="2"/>
        <v>13</v>
      </c>
    </row>
    <row r="190" spans="1:7" ht="18.75" x14ac:dyDescent="0.3">
      <c r="A190" s="8">
        <v>176</v>
      </c>
      <c r="B190" s="9">
        <v>44181</v>
      </c>
      <c r="C190" s="9" t="s">
        <v>86</v>
      </c>
      <c r="D190" s="8">
        <v>26923</v>
      </c>
      <c r="G190" s="8">
        <f t="shared" si="2"/>
        <v>14.051948051948052</v>
      </c>
    </row>
    <row r="191" spans="1:7" ht="18.75" x14ac:dyDescent="0.3">
      <c r="A191" s="8">
        <v>177</v>
      </c>
      <c r="B191" s="9"/>
      <c r="C191" s="9"/>
    </row>
    <row r="192" spans="1:7" ht="18.75" x14ac:dyDescent="0.3">
      <c r="A192" s="8">
        <v>178</v>
      </c>
      <c r="B192" s="9"/>
      <c r="C192" s="9"/>
    </row>
    <row r="193" spans="1:3" ht="18.75" x14ac:dyDescent="0.3">
      <c r="A193" s="8">
        <v>179</v>
      </c>
      <c r="B193" s="9"/>
      <c r="C193" s="9"/>
    </row>
    <row r="194" spans="1:3" ht="18.75" x14ac:dyDescent="0.3">
      <c r="A194" s="8">
        <v>180</v>
      </c>
      <c r="B194" s="9"/>
      <c r="C194" s="9"/>
    </row>
    <row r="195" spans="1:3" ht="18.75" x14ac:dyDescent="0.3">
      <c r="A195" s="8">
        <v>181</v>
      </c>
      <c r="B195" s="9"/>
      <c r="C195" s="9"/>
    </row>
    <row r="196" spans="1:3" ht="18.75" x14ac:dyDescent="0.3">
      <c r="A196" s="8">
        <v>182</v>
      </c>
      <c r="B196" s="9"/>
      <c r="C196" s="9"/>
    </row>
    <row r="197" spans="1:3" ht="18.75" x14ac:dyDescent="0.3">
      <c r="A197" s="8">
        <v>183</v>
      </c>
      <c r="B197" s="9"/>
      <c r="C197" s="9"/>
    </row>
    <row r="198" spans="1:3" ht="18.75" x14ac:dyDescent="0.3">
      <c r="A198" s="8">
        <v>184</v>
      </c>
      <c r="B198" s="9"/>
      <c r="C198" s="9"/>
    </row>
    <row r="199" spans="1:3" ht="18.75" x14ac:dyDescent="0.3">
      <c r="A199" s="8">
        <v>185</v>
      </c>
      <c r="B199" s="9"/>
      <c r="C199" s="9"/>
    </row>
    <row r="200" spans="1:3" ht="18.75" x14ac:dyDescent="0.3">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T7" sqref="T7"/>
    </sheetView>
  </sheetViews>
  <sheetFormatPr defaultRowHeight="15" x14ac:dyDescent="0.2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5">
      <c r="B3" s="3"/>
    </row>
    <row r="4" spans="1:20" x14ac:dyDescent="0.25">
      <c r="B4" s="3"/>
      <c r="F4" s="3"/>
      <c r="G4" s="3"/>
      <c r="H4" s="3"/>
      <c r="I4" s="3"/>
      <c r="J4" s="3"/>
      <c r="K4" s="3"/>
      <c r="L4" s="3"/>
      <c r="M4" s="3"/>
      <c r="N4" s="3"/>
      <c r="O4" s="3"/>
      <c r="P4" s="3"/>
      <c r="Q4" s="3"/>
      <c r="R4" s="3"/>
      <c r="S4" s="3"/>
      <c r="T4" s="3"/>
    </row>
    <row r="5" spans="1:20" ht="23.25" x14ac:dyDescent="0.3">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0</v>
      </c>
      <c r="F6" s="26">
        <f>Apartment4!D6</f>
        <v>0</v>
      </c>
      <c r="G6" s="26">
        <f>Apartment5!D6</f>
        <v>0</v>
      </c>
      <c r="H6" s="26">
        <f>Apartment6!D6</f>
        <v>300</v>
      </c>
      <c r="I6" s="26">
        <f>Apartment7!D6</f>
        <v>0</v>
      </c>
      <c r="J6" s="26">
        <f>Apartment8!D6</f>
        <v>0</v>
      </c>
      <c r="K6" s="26">
        <f>Apartment9!D6</f>
        <v>0</v>
      </c>
      <c r="L6" s="26">
        <f>Apartment10!D6</f>
        <v>150</v>
      </c>
      <c r="M6" s="26">
        <f>Apartment11!D6</f>
        <v>0</v>
      </c>
      <c r="N6" s="26">
        <f>Apartment12!D6</f>
        <v>250</v>
      </c>
      <c r="O6" s="26">
        <f>Apartment13!D6</f>
        <v>0</v>
      </c>
      <c r="P6" s="26">
        <f>Apartment14!D6</f>
        <v>0</v>
      </c>
    </row>
    <row r="7" spans="1:20" ht="23.25" x14ac:dyDescent="0.35">
      <c r="A7" s="8"/>
      <c r="B7" s="25">
        <v>2</v>
      </c>
      <c r="C7" s="26">
        <f>Apartment1!D7</f>
        <v>0</v>
      </c>
      <c r="D7" s="26">
        <f>Apartment2!D7</f>
        <v>0</v>
      </c>
      <c r="E7" s="26">
        <f>Apartment3!D7</f>
        <v>0</v>
      </c>
      <c r="F7" s="26">
        <f>Apartment4!D7</f>
        <v>0</v>
      </c>
      <c r="G7" s="26">
        <f>Apartment5!D7</f>
        <v>0</v>
      </c>
      <c r="H7" s="26">
        <f>Apartment6!D7</f>
        <v>300</v>
      </c>
      <c r="I7" s="26">
        <f>Apartment7!D7</f>
        <v>0</v>
      </c>
      <c r="J7" s="26">
        <f>Apartment8!D7</f>
        <v>0</v>
      </c>
      <c r="K7" s="26">
        <f>Apartment9!D7</f>
        <v>0</v>
      </c>
      <c r="L7" s="26">
        <f>Apartment10!D7</f>
        <v>150</v>
      </c>
      <c r="M7" s="26">
        <f>Apartment11!D7</f>
        <v>0</v>
      </c>
      <c r="N7" s="26">
        <f>Apartment12!D7</f>
        <v>0</v>
      </c>
      <c r="O7" s="26">
        <f>Apartment13!D7</f>
        <v>0</v>
      </c>
      <c r="P7" s="26">
        <f>Apartment14!D7</f>
        <v>0</v>
      </c>
    </row>
    <row r="8" spans="1:20" ht="23.25" x14ac:dyDescent="0.35">
      <c r="A8" s="8"/>
      <c r="B8" s="25">
        <v>3</v>
      </c>
      <c r="C8" s="26">
        <f>Apartment1!D8</f>
        <v>0</v>
      </c>
      <c r="D8" s="26">
        <f>Apartment2!D8</f>
        <v>0</v>
      </c>
      <c r="E8" s="26">
        <f>Apartment3!D8</f>
        <v>0</v>
      </c>
      <c r="F8" s="26">
        <f>Apartment4!D8</f>
        <v>0</v>
      </c>
      <c r="G8" s="26">
        <f>Apartment5!D8</f>
        <v>0</v>
      </c>
      <c r="H8" s="26">
        <f>Apartment6!D8</f>
        <v>300</v>
      </c>
      <c r="I8" s="26">
        <f>Apartment7!D8</f>
        <v>0</v>
      </c>
      <c r="J8" s="26">
        <f>Apartment8!D8</f>
        <v>0</v>
      </c>
      <c r="K8" s="26">
        <f>Apartment9!D8</f>
        <v>0</v>
      </c>
      <c r="L8" s="26">
        <f>Apartment10!D8</f>
        <v>150</v>
      </c>
      <c r="M8" s="26">
        <f>Apartment11!D8</f>
        <v>0</v>
      </c>
      <c r="N8" s="26">
        <f>Apartment12!D8</f>
        <v>0</v>
      </c>
      <c r="O8" s="26">
        <f>Apartment13!D8</f>
        <v>0</v>
      </c>
      <c r="P8" s="26">
        <f>Apartment14!D8</f>
        <v>0</v>
      </c>
    </row>
    <row r="9" spans="1:20" ht="23.25" x14ac:dyDescent="0.35">
      <c r="A9" s="8"/>
      <c r="B9" s="25">
        <v>4</v>
      </c>
      <c r="C9" s="26">
        <f>Apartment1!D9</f>
        <v>0</v>
      </c>
      <c r="D9" s="26">
        <f>Apartment2!D9</f>
        <v>0</v>
      </c>
      <c r="E9" s="26">
        <f>Apartment3!D9</f>
        <v>0</v>
      </c>
      <c r="F9" s="26">
        <f>Apartment4!D9</f>
        <v>0</v>
      </c>
      <c r="G9" s="26">
        <f>Apartment5!D9</f>
        <v>0</v>
      </c>
      <c r="H9" s="26">
        <f>Apartment6!D9</f>
        <v>300</v>
      </c>
      <c r="I9" s="26">
        <f>Apartment7!D9</f>
        <v>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75" x14ac:dyDescent="0.3">
      <c r="A18" s="8"/>
      <c r="B18" s="22"/>
      <c r="C18" s="8"/>
      <c r="D18" s="8"/>
      <c r="E18" s="8"/>
      <c r="F18" s="2"/>
      <c r="G18" s="2"/>
      <c r="H18" s="2"/>
      <c r="I18" s="2"/>
      <c r="J18" s="2"/>
      <c r="K18" s="2"/>
    </row>
    <row r="19" spans="1:16" ht="18.75" x14ac:dyDescent="0.3">
      <c r="A19" s="8"/>
      <c r="B19" s="22"/>
      <c r="C19" s="8"/>
      <c r="D19" s="8"/>
      <c r="E19" s="8"/>
      <c r="F19" s="2"/>
      <c r="G19" s="2"/>
      <c r="H19" s="2"/>
      <c r="I19" s="2"/>
      <c r="J19" s="2"/>
      <c r="K19" s="2"/>
    </row>
    <row r="20" spans="1:16" ht="18.75" x14ac:dyDescent="0.3">
      <c r="A20" s="8"/>
      <c r="B20" s="22"/>
      <c r="C20" s="8"/>
      <c r="D20" s="8"/>
      <c r="E20" s="8"/>
      <c r="F20" s="2"/>
      <c r="G20" s="2"/>
      <c r="H20" s="2"/>
      <c r="I20" s="2"/>
      <c r="J20" s="2"/>
      <c r="K20" s="2"/>
    </row>
    <row r="21" spans="1:16" ht="18.75" x14ac:dyDescent="0.3">
      <c r="A21" s="8"/>
      <c r="B21" s="22"/>
      <c r="C21" s="8"/>
      <c r="D21" s="8"/>
      <c r="E21" s="8"/>
      <c r="F21" s="2"/>
      <c r="G21" s="2"/>
      <c r="H21" s="2"/>
      <c r="I21" s="2"/>
      <c r="J21" s="2"/>
      <c r="K21" s="2"/>
    </row>
    <row r="22" spans="1:16" ht="18.75" x14ac:dyDescent="0.3">
      <c r="A22" s="8"/>
      <c r="B22" s="22"/>
      <c r="C22" s="8"/>
      <c r="D22" s="8"/>
      <c r="E22" s="8"/>
      <c r="F22" s="2"/>
      <c r="G22" s="2"/>
      <c r="H22" s="2"/>
      <c r="I22" s="2"/>
      <c r="J22" s="2"/>
      <c r="K22" s="2"/>
    </row>
    <row r="23" spans="1:16" ht="18.75" x14ac:dyDescent="0.3">
      <c r="A23" s="8"/>
      <c r="B23" s="22"/>
      <c r="C23" s="8"/>
      <c r="D23" s="8"/>
      <c r="E23" s="8"/>
      <c r="F23" s="2"/>
      <c r="G23" s="2"/>
      <c r="H23" s="2"/>
      <c r="I23" s="2"/>
      <c r="J23" s="2"/>
      <c r="K23" s="2"/>
    </row>
    <row r="24" spans="1:16" ht="18.75" x14ac:dyDescent="0.3">
      <c r="A24" s="8"/>
      <c r="B24" s="22"/>
      <c r="C24" s="8"/>
      <c r="D24" s="8"/>
      <c r="E24" s="8"/>
      <c r="F24" s="2"/>
      <c r="G24" s="2"/>
      <c r="H24" s="2"/>
      <c r="I24" s="2"/>
      <c r="J24" s="2"/>
      <c r="K24" s="2"/>
    </row>
    <row r="25" spans="1:16" ht="18.75" x14ac:dyDescent="0.3">
      <c r="A25" s="8"/>
      <c r="B25" s="22"/>
      <c r="C25" s="8"/>
      <c r="D25" s="8"/>
      <c r="E25" s="8"/>
      <c r="F25" s="2"/>
      <c r="G25" s="2"/>
      <c r="H25" s="2"/>
      <c r="I25" s="2"/>
      <c r="J25" s="2"/>
      <c r="K25" s="2"/>
    </row>
    <row r="26" spans="1:16" ht="18.75" x14ac:dyDescent="0.3">
      <c r="A26" s="8"/>
      <c r="B26" s="22"/>
      <c r="C26" s="8"/>
      <c r="D26" s="8"/>
      <c r="E26" s="8"/>
      <c r="F26" s="2"/>
      <c r="G26" s="2"/>
      <c r="H26" s="2"/>
      <c r="I26" s="2"/>
      <c r="J26" s="2"/>
      <c r="K26" s="2"/>
    </row>
    <row r="27" spans="1:16" ht="18.75" x14ac:dyDescent="0.3">
      <c r="A27" s="8"/>
      <c r="B27" s="22"/>
      <c r="C27" s="8"/>
      <c r="D27" s="8"/>
      <c r="E27" s="8"/>
      <c r="F27" s="2"/>
      <c r="G27" s="2"/>
      <c r="H27" s="2"/>
      <c r="I27" s="2"/>
      <c r="J27" s="2"/>
      <c r="K27" s="2"/>
    </row>
    <row r="28" spans="1:16" ht="18.75" x14ac:dyDescent="0.3">
      <c r="A28" s="8"/>
      <c r="B28" s="22"/>
      <c r="C28" s="8"/>
      <c r="D28" s="8"/>
      <c r="E28" s="8"/>
      <c r="F28" s="2"/>
      <c r="G28" s="2"/>
      <c r="H28" s="2"/>
      <c r="I28" s="2"/>
      <c r="J28" s="2"/>
      <c r="K28" s="2"/>
    </row>
    <row r="29" spans="1:16" ht="18.75" x14ac:dyDescent="0.3">
      <c r="A29" s="8"/>
      <c r="B29" s="22"/>
      <c r="C29" s="8"/>
      <c r="D29" s="8"/>
      <c r="E29" s="8"/>
      <c r="F29" s="2"/>
      <c r="G29" s="2"/>
      <c r="H29" s="2"/>
      <c r="I29" s="2"/>
      <c r="J29" s="2"/>
      <c r="K29" s="2"/>
    </row>
    <row r="30" spans="1:16" ht="18.75" x14ac:dyDescent="0.3">
      <c r="A30" s="8"/>
      <c r="B30" s="22"/>
      <c r="C30" s="8"/>
      <c r="D30" s="8"/>
      <c r="E30" s="8"/>
      <c r="F30" s="2"/>
      <c r="G30" s="2"/>
      <c r="H30" s="2"/>
      <c r="I30" s="2"/>
      <c r="J30" s="2"/>
      <c r="K30" s="2"/>
    </row>
    <row r="31" spans="1:16" ht="18.75" x14ac:dyDescent="0.3">
      <c r="A31" s="8"/>
      <c r="B31" s="22"/>
      <c r="C31" s="8"/>
      <c r="D31" s="8"/>
      <c r="E31" s="8"/>
      <c r="F31" s="2"/>
      <c r="G31" s="2"/>
      <c r="H31" s="2"/>
      <c r="I31" s="2"/>
      <c r="J31" s="2"/>
      <c r="K31" s="2"/>
    </row>
    <row r="32" spans="1:16" ht="18.75" x14ac:dyDescent="0.3">
      <c r="A32" s="8"/>
      <c r="B32" s="22"/>
      <c r="C32" s="8"/>
      <c r="D32" s="8"/>
      <c r="E32" s="8"/>
      <c r="F32" s="2"/>
      <c r="G32" s="2"/>
      <c r="H32" s="2"/>
      <c r="I32" s="2"/>
      <c r="J32" s="2"/>
      <c r="K32" s="2"/>
    </row>
    <row r="33" spans="1:11" ht="18.75" x14ac:dyDescent="0.3">
      <c r="A33" s="8"/>
      <c r="B33" s="22"/>
      <c r="C33" s="8"/>
      <c r="D33" s="8"/>
      <c r="E33" s="8"/>
      <c r="F33" s="2"/>
      <c r="G33" s="2"/>
      <c r="H33" s="2"/>
      <c r="I33" s="2"/>
      <c r="J33" s="2"/>
      <c r="K33" s="2"/>
    </row>
    <row r="34" spans="1:11" ht="18.75" x14ac:dyDescent="0.3">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5" x14ac:dyDescent="0.25"/>
  <cols>
    <col min="1" max="2" width="4.42578125" style="3" customWidth="1"/>
    <col min="3" max="3" width="10.42578125" style="66" customWidth="1"/>
    <col min="4" max="4" width="9.7109375" style="66" customWidth="1"/>
    <col min="5" max="5" width="9.140625" style="93"/>
    <col min="6" max="6" width="16.7109375" bestFit="1" customWidth="1"/>
    <col min="7" max="7" width="10.28515625" customWidth="1"/>
    <col min="8" max="8" width="10.5703125" bestFit="1" customWidth="1"/>
  </cols>
  <sheetData>
    <row r="2" spans="1:14" ht="26.25" x14ac:dyDescent="0.4">
      <c r="C2" s="98" t="s">
        <v>47</v>
      </c>
      <c r="D2" s="98"/>
      <c r="E2" s="98"/>
      <c r="F2" s="98"/>
      <c r="G2" s="98"/>
      <c r="H2" s="98"/>
      <c r="I2" s="98"/>
      <c r="J2" s="98"/>
      <c r="K2" s="98"/>
      <c r="L2" s="98"/>
      <c r="M2" s="98"/>
      <c r="N2" s="98"/>
    </row>
    <row r="3" spans="1:14" ht="18.75" x14ac:dyDescent="0.3">
      <c r="C3" s="83"/>
      <c r="G3" s="102" t="s">
        <v>94</v>
      </c>
      <c r="H3" s="102"/>
      <c r="I3" s="102"/>
    </row>
    <row r="4" spans="1:14" ht="56.25" x14ac:dyDescent="0.25">
      <c r="A4" s="12" t="s">
        <v>7</v>
      </c>
      <c r="B4" s="12" t="s">
        <v>33</v>
      </c>
      <c r="C4" s="14" t="s">
        <v>30</v>
      </c>
      <c r="D4" s="15" t="s">
        <v>31</v>
      </c>
      <c r="E4" s="17" t="s">
        <v>32</v>
      </c>
      <c r="F4" s="16" t="s">
        <v>49</v>
      </c>
      <c r="G4" s="14" t="s">
        <v>30</v>
      </c>
      <c r="H4" s="15" t="s">
        <v>31</v>
      </c>
      <c r="I4" s="17" t="s">
        <v>32</v>
      </c>
      <c r="J4" s="16"/>
    </row>
    <row r="5" spans="1:14" ht="18.75" x14ac:dyDescent="0.3">
      <c r="A5" s="8">
        <v>1</v>
      </c>
      <c r="B5" s="20">
        <v>1</v>
      </c>
      <c r="C5" s="91">
        <f>Apartment1!D4</f>
        <v>150</v>
      </c>
      <c r="D5" s="92"/>
      <c r="E5" s="94">
        <f>D5-C5</f>
        <v>-150</v>
      </c>
      <c r="F5" s="2" t="s">
        <v>50</v>
      </c>
      <c r="G5" s="91"/>
      <c r="H5" s="92"/>
      <c r="I5" s="94">
        <f>H5-G5</f>
        <v>0</v>
      </c>
      <c r="J5" s="2"/>
    </row>
    <row r="6" spans="1:14" ht="18.75" x14ac:dyDescent="0.3">
      <c r="A6" s="8">
        <v>2</v>
      </c>
      <c r="B6" s="20">
        <v>2</v>
      </c>
      <c r="C6" s="91">
        <f>Apartment2!D4</f>
        <v>75</v>
      </c>
      <c r="D6" s="92"/>
      <c r="E6" s="94">
        <f t="shared" ref="E6:E18" si="0">D6-C6</f>
        <v>-75</v>
      </c>
      <c r="F6" s="2" t="s">
        <v>51</v>
      </c>
      <c r="G6" s="91"/>
      <c r="H6" s="92"/>
      <c r="I6" s="94">
        <f t="shared" ref="I6:I18" si="1">H6-G6</f>
        <v>0</v>
      </c>
      <c r="J6" s="2"/>
    </row>
    <row r="7" spans="1:14" ht="18.75" x14ac:dyDescent="0.3">
      <c r="A7" s="8">
        <v>3</v>
      </c>
      <c r="B7" s="20">
        <v>3</v>
      </c>
      <c r="C7" s="91">
        <f>Apartment3!D4</f>
        <v>0</v>
      </c>
      <c r="D7" s="92"/>
      <c r="E7" s="94">
        <f t="shared" si="0"/>
        <v>0</v>
      </c>
      <c r="F7" s="2" t="s">
        <v>48</v>
      </c>
      <c r="G7" s="91"/>
      <c r="H7" s="92"/>
      <c r="I7" s="94">
        <f t="shared" si="1"/>
        <v>0</v>
      </c>
      <c r="J7" s="2"/>
    </row>
    <row r="8" spans="1:14" ht="18.75" x14ac:dyDescent="0.3">
      <c r="A8" s="8">
        <v>4</v>
      </c>
      <c r="B8" s="20">
        <v>4</v>
      </c>
      <c r="C8" s="91">
        <f>Apartment4!D4</f>
        <v>0</v>
      </c>
      <c r="D8" s="92"/>
      <c r="E8" s="94">
        <f t="shared" si="0"/>
        <v>0</v>
      </c>
      <c r="F8" s="2" t="s">
        <v>48</v>
      </c>
      <c r="G8" s="91"/>
      <c r="H8" s="92"/>
      <c r="I8" s="94">
        <f t="shared" si="1"/>
        <v>0</v>
      </c>
      <c r="J8" s="2"/>
    </row>
    <row r="9" spans="1:14" ht="18.75" x14ac:dyDescent="0.3">
      <c r="A9" s="8">
        <v>5</v>
      </c>
      <c r="B9" s="20">
        <v>5</v>
      </c>
      <c r="C9" s="91">
        <f>Apartment5!D4</f>
        <v>0</v>
      </c>
      <c r="D9" s="92"/>
      <c r="E9" s="94">
        <f t="shared" si="0"/>
        <v>0</v>
      </c>
      <c r="F9" s="2" t="s">
        <v>119</v>
      </c>
      <c r="G9" s="91"/>
      <c r="H9" s="92"/>
      <c r="I9" s="94">
        <f t="shared" si="1"/>
        <v>0</v>
      </c>
      <c r="J9" s="2"/>
    </row>
    <row r="10" spans="1:14" ht="18.75" x14ac:dyDescent="0.3">
      <c r="A10" s="8">
        <v>6</v>
      </c>
      <c r="B10" s="20">
        <v>6</v>
      </c>
      <c r="C10" s="91">
        <v>0</v>
      </c>
      <c r="D10" s="92"/>
      <c r="E10" s="94">
        <f t="shared" si="0"/>
        <v>0</v>
      </c>
      <c r="F10" s="2" t="s">
        <v>52</v>
      </c>
      <c r="G10" s="91"/>
      <c r="H10" s="92"/>
      <c r="I10" s="94">
        <f t="shared" si="1"/>
        <v>0</v>
      </c>
      <c r="J10" s="2"/>
    </row>
    <row r="11" spans="1:14" ht="18.75" x14ac:dyDescent="0.3">
      <c r="A11" s="8">
        <v>7</v>
      </c>
      <c r="B11" s="20">
        <v>7</v>
      </c>
      <c r="C11" s="91">
        <f>Apartment7!D4</f>
        <v>0</v>
      </c>
      <c r="D11" s="92"/>
      <c r="E11" s="94">
        <f t="shared" si="0"/>
        <v>0</v>
      </c>
      <c r="F11" s="2" t="s">
        <v>48</v>
      </c>
      <c r="G11" s="91"/>
      <c r="H11" s="92"/>
      <c r="I11" s="94">
        <f t="shared" si="1"/>
        <v>0</v>
      </c>
      <c r="J11" s="2"/>
    </row>
    <row r="12" spans="1:14" ht="18.75" x14ac:dyDescent="0.3">
      <c r="A12" s="8">
        <v>8</v>
      </c>
      <c r="B12" s="20">
        <v>8</v>
      </c>
      <c r="C12" s="91">
        <f>Apartment8!D4</f>
        <v>0</v>
      </c>
      <c r="D12" s="92"/>
      <c r="E12" s="94">
        <f t="shared" si="0"/>
        <v>0</v>
      </c>
      <c r="F12" s="2" t="s">
        <v>120</v>
      </c>
      <c r="G12" s="91"/>
      <c r="H12" s="92"/>
      <c r="I12" s="94">
        <f t="shared" si="1"/>
        <v>0</v>
      </c>
      <c r="J12" s="2"/>
    </row>
    <row r="13" spans="1:14" ht="18.75" x14ac:dyDescent="0.3">
      <c r="A13" s="8">
        <v>9</v>
      </c>
      <c r="B13" s="20">
        <v>9</v>
      </c>
      <c r="C13" s="91">
        <f>Apartment9!D4</f>
        <v>0</v>
      </c>
      <c r="D13" s="92"/>
      <c r="E13" s="94">
        <f t="shared" si="0"/>
        <v>0</v>
      </c>
      <c r="F13" s="2" t="s">
        <v>53</v>
      </c>
      <c r="G13" s="91"/>
      <c r="H13" s="92"/>
      <c r="I13" s="94">
        <f t="shared" si="1"/>
        <v>0</v>
      </c>
      <c r="J13" s="2"/>
    </row>
    <row r="14" spans="1:14" ht="18.75" x14ac:dyDescent="0.3">
      <c r="A14" s="8">
        <v>10</v>
      </c>
      <c r="B14" s="20">
        <v>10</v>
      </c>
      <c r="C14" s="91"/>
      <c r="D14" s="92"/>
      <c r="E14" s="94">
        <f t="shared" si="0"/>
        <v>0</v>
      </c>
      <c r="F14" s="2" t="s">
        <v>52</v>
      </c>
      <c r="G14" s="91"/>
      <c r="H14" s="92"/>
      <c r="I14" s="94">
        <f t="shared" si="1"/>
        <v>0</v>
      </c>
      <c r="J14" s="2"/>
    </row>
    <row r="15" spans="1:14" ht="18.75" x14ac:dyDescent="0.3">
      <c r="A15" s="8">
        <v>11</v>
      </c>
      <c r="B15" s="20">
        <v>11</v>
      </c>
      <c r="C15" s="91">
        <f>Apartment11!D4</f>
        <v>0</v>
      </c>
      <c r="D15" s="92"/>
      <c r="E15" s="94">
        <f t="shared" si="0"/>
        <v>0</v>
      </c>
      <c r="F15" s="2" t="s">
        <v>54</v>
      </c>
      <c r="G15" s="91"/>
      <c r="H15" s="92"/>
      <c r="I15" s="94">
        <f t="shared" si="1"/>
        <v>0</v>
      </c>
      <c r="J15" s="2"/>
    </row>
    <row r="16" spans="1:14" ht="18.75" x14ac:dyDescent="0.3">
      <c r="A16" s="8">
        <v>12</v>
      </c>
      <c r="B16" s="20">
        <v>12</v>
      </c>
      <c r="C16" s="91">
        <v>0</v>
      </c>
      <c r="D16" s="92"/>
      <c r="E16" s="94">
        <f t="shared" si="0"/>
        <v>0</v>
      </c>
      <c r="F16" s="2" t="s">
        <v>55</v>
      </c>
      <c r="G16" s="91"/>
      <c r="H16" s="92"/>
      <c r="I16" s="94">
        <f t="shared" si="1"/>
        <v>0</v>
      </c>
      <c r="J16" s="2"/>
    </row>
    <row r="17" spans="1:10" ht="18.75" x14ac:dyDescent="0.3">
      <c r="A17" s="8">
        <v>13</v>
      </c>
      <c r="B17" s="20">
        <v>13</v>
      </c>
      <c r="C17" s="91">
        <f>Apartment13!D4</f>
        <v>0</v>
      </c>
      <c r="D17" s="92"/>
      <c r="E17" s="94">
        <f t="shared" si="0"/>
        <v>0</v>
      </c>
      <c r="F17" s="2" t="s">
        <v>56</v>
      </c>
      <c r="G17" s="91"/>
      <c r="H17" s="92"/>
      <c r="I17" s="94">
        <f t="shared" si="1"/>
        <v>0</v>
      </c>
      <c r="J17" s="2"/>
    </row>
    <row r="18" spans="1:10" ht="18.75" x14ac:dyDescent="0.3">
      <c r="A18" s="8">
        <v>14</v>
      </c>
      <c r="B18" s="20">
        <v>14</v>
      </c>
      <c r="C18" s="91">
        <f>Apartment14!D4</f>
        <v>0</v>
      </c>
      <c r="D18" s="92"/>
      <c r="E18" s="94">
        <f t="shared" si="0"/>
        <v>0</v>
      </c>
      <c r="F18" s="2" t="s">
        <v>57</v>
      </c>
      <c r="G18" s="91"/>
      <c r="H18" s="92"/>
      <c r="I18" s="94">
        <f t="shared" si="1"/>
        <v>0</v>
      </c>
      <c r="J18" s="2"/>
    </row>
    <row r="19" spans="1:10" ht="18.75" x14ac:dyDescent="0.3">
      <c r="A19" s="8"/>
      <c r="B19" s="8"/>
      <c r="C19" s="33"/>
      <c r="D19" s="33"/>
      <c r="E19" s="95"/>
      <c r="F19" s="2"/>
      <c r="G19" s="2"/>
      <c r="H19" s="2"/>
      <c r="I19" s="2"/>
      <c r="J19" s="2"/>
    </row>
    <row r="20" spans="1:10" ht="18.75" x14ac:dyDescent="0.3">
      <c r="A20" s="8"/>
      <c r="B20" s="8"/>
      <c r="C20" s="33"/>
      <c r="D20" s="33"/>
      <c r="E20" s="95"/>
      <c r="F20" s="2"/>
      <c r="G20" s="2"/>
      <c r="H20" s="2"/>
      <c r="I20" s="2"/>
      <c r="J20" s="2"/>
    </row>
    <row r="21" spans="1:10" ht="18.75" x14ac:dyDescent="0.3">
      <c r="A21" s="8"/>
      <c r="B21" s="8"/>
      <c r="C21" s="33"/>
      <c r="D21" s="33"/>
      <c r="E21" s="95"/>
      <c r="F21" s="2"/>
      <c r="G21" s="2"/>
      <c r="H21" s="2"/>
      <c r="I21" s="2"/>
      <c r="J21" s="2"/>
    </row>
    <row r="22" spans="1:10" ht="18.75" x14ac:dyDescent="0.3">
      <c r="A22" s="8"/>
      <c r="B22" s="8"/>
      <c r="C22" s="33"/>
      <c r="D22" s="33"/>
      <c r="E22" s="95"/>
      <c r="F22" s="2"/>
      <c r="G22" s="2"/>
      <c r="H22" s="2"/>
      <c r="I22" s="2"/>
      <c r="J22" s="2"/>
    </row>
    <row r="23" spans="1:10" ht="18.75" x14ac:dyDescent="0.3">
      <c r="A23" s="8"/>
      <c r="B23" s="8"/>
      <c r="C23" s="33"/>
      <c r="D23" s="33"/>
      <c r="E23" s="95"/>
      <c r="F23" s="2"/>
      <c r="G23" s="2"/>
      <c r="H23" s="2"/>
      <c r="I23" s="2"/>
      <c r="J23" s="2"/>
    </row>
    <row r="24" spans="1:10" ht="18.75" x14ac:dyDescent="0.3">
      <c r="A24" s="8"/>
      <c r="B24" s="8"/>
      <c r="C24" s="33"/>
      <c r="D24" s="33"/>
      <c r="E24" s="95"/>
      <c r="F24" s="2"/>
      <c r="G24" s="2"/>
      <c r="H24" s="2"/>
      <c r="I24" s="2"/>
      <c r="J24" s="2"/>
    </row>
    <row r="25" spans="1:10" ht="18.75" x14ac:dyDescent="0.3">
      <c r="A25" s="8"/>
      <c r="B25" s="8"/>
      <c r="C25" s="33"/>
      <c r="D25" s="33"/>
      <c r="E25" s="95"/>
      <c r="F25" s="2"/>
      <c r="G25" s="2"/>
      <c r="H25" s="2"/>
      <c r="I25" s="2"/>
      <c r="J25" s="2"/>
    </row>
    <row r="26" spans="1:10" ht="18.75" x14ac:dyDescent="0.3">
      <c r="A26" s="8"/>
      <c r="B26" s="8"/>
      <c r="C26" s="33"/>
      <c r="D26" s="33"/>
      <c r="E26" s="95"/>
      <c r="F26" s="2"/>
      <c r="G26" s="2"/>
      <c r="H26" s="2"/>
      <c r="I26" s="2"/>
      <c r="J26" s="2"/>
    </row>
    <row r="27" spans="1:10" ht="18.75" x14ac:dyDescent="0.3">
      <c r="A27" s="8"/>
      <c r="B27" s="8"/>
      <c r="C27" s="33"/>
      <c r="D27" s="33"/>
      <c r="E27" s="95"/>
      <c r="F27" s="2"/>
      <c r="G27" s="2"/>
      <c r="H27" s="2"/>
      <c r="I27" s="2"/>
      <c r="J27" s="2"/>
    </row>
    <row r="28" spans="1:10" ht="18.75" x14ac:dyDescent="0.3">
      <c r="A28" s="8"/>
      <c r="B28" s="8"/>
      <c r="C28" s="33"/>
      <c r="D28" s="33"/>
      <c r="E28" s="95"/>
      <c r="F28" s="2"/>
      <c r="G28" s="2"/>
      <c r="H28" s="2"/>
      <c r="I28" s="2"/>
      <c r="J28" s="2"/>
    </row>
    <row r="29" spans="1:10" ht="18.75" x14ac:dyDescent="0.3">
      <c r="A29" s="8"/>
      <c r="B29" s="8"/>
      <c r="C29" s="33"/>
      <c r="D29" s="33"/>
      <c r="E29" s="95"/>
      <c r="F29" s="2"/>
      <c r="G29" s="2"/>
      <c r="H29" s="2"/>
      <c r="I29" s="2"/>
      <c r="J29" s="2"/>
    </row>
    <row r="30" spans="1:10" ht="18.75" x14ac:dyDescent="0.3">
      <c r="A30" s="8"/>
      <c r="B30" s="8"/>
      <c r="C30" s="33"/>
      <c r="D30" s="33"/>
      <c r="E30" s="95"/>
      <c r="F30" s="2"/>
      <c r="G30" s="2"/>
      <c r="H30" s="2"/>
      <c r="I30" s="2"/>
      <c r="J30" s="2"/>
    </row>
    <row r="31" spans="1:10" ht="18.75" x14ac:dyDescent="0.3">
      <c r="A31" s="8"/>
      <c r="B31" s="8"/>
      <c r="C31" s="33"/>
      <c r="D31" s="33"/>
      <c r="E31" s="95"/>
      <c r="F31" s="2"/>
      <c r="G31" s="2"/>
      <c r="H31" s="2"/>
      <c r="I31" s="2"/>
      <c r="J31" s="2"/>
    </row>
    <row r="32" spans="1:10" ht="18.75" x14ac:dyDescent="0.3">
      <c r="A32" s="8"/>
      <c r="B32" s="8"/>
      <c r="C32" s="33"/>
      <c r="D32" s="33"/>
      <c r="E32" s="95"/>
      <c r="F32" s="2"/>
      <c r="G32" s="2"/>
      <c r="H32" s="2"/>
      <c r="I32" s="2"/>
      <c r="J32" s="2"/>
    </row>
    <row r="33" spans="1:10" ht="18.75" x14ac:dyDescent="0.3">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6" sqref="D6:D17"/>
    </sheetView>
  </sheetViews>
  <sheetFormatPr defaultRowHeight="15" x14ac:dyDescent="0.25"/>
  <cols>
    <col min="1" max="1" width="4.42578125" style="3" customWidth="1"/>
    <col min="2" max="2" width="4.140625" style="3" bestFit="1" customWidth="1"/>
    <col min="3" max="3" width="15.140625" style="64" customWidth="1"/>
    <col min="4" max="4" width="8.28515625" style="3" bestFit="1" customWidth="1"/>
    <col min="5" max="5" width="24.7109375" style="3" bestFit="1" customWidth="1"/>
    <col min="6" max="6" width="9.71093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7.75" x14ac:dyDescent="0.4">
      <c r="C3" s="1"/>
      <c r="D3" s="18" t="s">
        <v>8</v>
      </c>
      <c r="E3" s="18"/>
      <c r="F3" s="18" t="s">
        <v>18</v>
      </c>
      <c r="G3" s="1"/>
      <c r="H3" s="1"/>
      <c r="I3" s="1"/>
      <c r="J3" s="1"/>
      <c r="K3" s="1"/>
      <c r="L3" s="1"/>
      <c r="M3" s="1"/>
      <c r="N3" s="1"/>
      <c r="O3" s="1"/>
      <c r="P3" s="1"/>
      <c r="Q3" s="1"/>
    </row>
    <row r="4" spans="1:17" ht="18.75" x14ac:dyDescent="0.3">
      <c r="C4" s="62"/>
      <c r="D4" s="11">
        <f>SUM(D6:D2001)</f>
        <v>0</v>
      </c>
      <c r="E4" s="11"/>
      <c r="F4" s="11">
        <f>SUM(F6:F2001)</f>
        <v>1500</v>
      </c>
    </row>
    <row r="5" spans="1:17" ht="56.25" x14ac:dyDescent="0.25">
      <c r="A5" s="4" t="s">
        <v>7</v>
      </c>
      <c r="B5" s="4" t="s">
        <v>17</v>
      </c>
      <c r="C5" s="6" t="s">
        <v>1</v>
      </c>
      <c r="D5" s="4" t="s">
        <v>2</v>
      </c>
      <c r="E5" s="4" t="s">
        <v>4</v>
      </c>
      <c r="F5" s="4" t="s">
        <v>19</v>
      </c>
      <c r="G5" s="4" t="s">
        <v>4</v>
      </c>
      <c r="H5" s="5"/>
      <c r="I5" s="5"/>
      <c r="J5" s="5"/>
      <c r="K5" s="5"/>
      <c r="L5" s="5"/>
      <c r="M5" s="5"/>
    </row>
    <row r="6" spans="1:17" ht="18.75" x14ac:dyDescent="0.3">
      <c r="A6" s="8">
        <v>1</v>
      </c>
      <c r="B6" s="8">
        <v>1</v>
      </c>
      <c r="C6" s="63">
        <v>46134</v>
      </c>
      <c r="D6" s="33"/>
      <c r="E6" s="8"/>
      <c r="F6" s="8">
        <v>125</v>
      </c>
      <c r="G6" s="8" t="s">
        <v>237</v>
      </c>
      <c r="H6" s="2"/>
      <c r="I6" s="2"/>
      <c r="J6" s="2"/>
      <c r="K6" s="2"/>
      <c r="L6" s="2"/>
      <c r="M6" s="2"/>
    </row>
    <row r="7" spans="1:17" ht="18.75" x14ac:dyDescent="0.3">
      <c r="A7" s="8">
        <v>2</v>
      </c>
      <c r="B7" s="8">
        <v>2</v>
      </c>
      <c r="C7" s="63">
        <v>46134</v>
      </c>
      <c r="D7" s="33"/>
      <c r="E7" s="8"/>
      <c r="F7" s="8">
        <v>125</v>
      </c>
      <c r="G7" s="8" t="s">
        <v>113</v>
      </c>
      <c r="H7" s="2"/>
      <c r="I7" s="2"/>
      <c r="J7" s="2"/>
      <c r="K7" s="2"/>
      <c r="L7" s="2"/>
      <c r="M7" s="2"/>
    </row>
    <row r="8" spans="1:17" ht="18.75" x14ac:dyDescent="0.3">
      <c r="A8" s="8">
        <v>3</v>
      </c>
      <c r="B8" s="8">
        <v>3</v>
      </c>
      <c r="C8" s="63">
        <v>46242</v>
      </c>
      <c r="D8" s="33"/>
      <c r="E8" s="8"/>
      <c r="F8" s="8">
        <v>125</v>
      </c>
      <c r="G8" s="8" t="s">
        <v>100</v>
      </c>
      <c r="H8" s="2"/>
      <c r="I8" s="2"/>
      <c r="J8" s="2"/>
      <c r="K8" s="2"/>
      <c r="L8" s="2"/>
      <c r="M8" s="2"/>
    </row>
    <row r="9" spans="1:17" ht="18.75" x14ac:dyDescent="0.3">
      <c r="A9" s="8">
        <v>4</v>
      </c>
      <c r="B9" s="8">
        <v>4</v>
      </c>
      <c r="C9" s="63">
        <v>46242</v>
      </c>
      <c r="D9" s="33"/>
      <c r="E9" s="8"/>
      <c r="F9" s="8">
        <v>125</v>
      </c>
      <c r="G9" s="8" t="s">
        <v>101</v>
      </c>
      <c r="H9" s="2"/>
      <c r="I9" s="2"/>
      <c r="J9" s="2"/>
      <c r="K9" s="2"/>
      <c r="L9" s="2"/>
      <c r="M9" s="2"/>
    </row>
    <row r="10" spans="1:17" ht="18.75" x14ac:dyDescent="0.3">
      <c r="A10" s="8">
        <v>5</v>
      </c>
      <c r="B10" s="8">
        <v>5</v>
      </c>
      <c r="C10" s="63">
        <v>46242</v>
      </c>
      <c r="D10" s="33"/>
      <c r="E10" s="8"/>
      <c r="F10" s="8">
        <v>125</v>
      </c>
      <c r="G10" s="8" t="s">
        <v>102</v>
      </c>
      <c r="H10" s="2"/>
      <c r="I10" s="2"/>
      <c r="J10" s="2"/>
      <c r="K10" s="2"/>
      <c r="L10" s="2"/>
      <c r="M10" s="2"/>
    </row>
    <row r="11" spans="1:17" ht="18.75" x14ac:dyDescent="0.3">
      <c r="A11" s="8">
        <v>6</v>
      </c>
      <c r="B11" s="8">
        <v>6</v>
      </c>
      <c r="C11" s="63">
        <v>46242</v>
      </c>
      <c r="D11" s="33"/>
      <c r="E11" s="8"/>
      <c r="F11" s="8">
        <v>125</v>
      </c>
      <c r="G11" s="8" t="s">
        <v>103</v>
      </c>
      <c r="H11" s="2"/>
      <c r="I11" s="2"/>
      <c r="J11" s="2"/>
      <c r="K11" s="2"/>
      <c r="L11" s="2"/>
      <c r="M11" s="2"/>
    </row>
    <row r="12" spans="1:17" ht="18.75" x14ac:dyDescent="0.3">
      <c r="A12" s="8">
        <v>7</v>
      </c>
      <c r="B12" s="8">
        <v>7</v>
      </c>
      <c r="C12" s="63">
        <v>46242</v>
      </c>
      <c r="D12" s="33"/>
      <c r="E12" s="8"/>
      <c r="F12" s="8">
        <v>125</v>
      </c>
      <c r="G12" s="8" t="s">
        <v>104</v>
      </c>
      <c r="H12" s="2"/>
      <c r="I12" s="2"/>
      <c r="J12" s="2"/>
      <c r="K12" s="2"/>
      <c r="L12" s="2"/>
      <c r="M12" s="2"/>
    </row>
    <row r="13" spans="1:17" ht="18.75" x14ac:dyDescent="0.3">
      <c r="A13" s="8">
        <v>8</v>
      </c>
      <c r="B13" s="8">
        <v>8</v>
      </c>
      <c r="C13" s="51">
        <v>46371</v>
      </c>
      <c r="D13" s="33"/>
      <c r="E13" s="8"/>
      <c r="F13" s="8">
        <v>125</v>
      </c>
      <c r="G13" s="8" t="s">
        <v>105</v>
      </c>
      <c r="H13" s="2"/>
      <c r="I13" s="2"/>
      <c r="J13" s="2"/>
      <c r="K13" s="2"/>
      <c r="L13" s="2"/>
      <c r="M13" s="2"/>
    </row>
    <row r="14" spans="1:17" ht="18.75" x14ac:dyDescent="0.3">
      <c r="A14" s="8">
        <v>9</v>
      </c>
      <c r="B14" s="8">
        <v>9</v>
      </c>
      <c r="C14" s="51">
        <v>46371</v>
      </c>
      <c r="D14" s="33"/>
      <c r="E14" s="8"/>
      <c r="F14" s="8">
        <v>125</v>
      </c>
      <c r="G14" s="8" t="s">
        <v>106</v>
      </c>
      <c r="H14" s="2"/>
      <c r="I14" s="2"/>
      <c r="J14" s="2"/>
      <c r="K14" s="2"/>
      <c r="L14" s="2"/>
      <c r="M14" s="2"/>
    </row>
    <row r="15" spans="1:17" ht="18.75" x14ac:dyDescent="0.3">
      <c r="A15" s="8">
        <v>10</v>
      </c>
      <c r="B15" s="8">
        <v>10</v>
      </c>
      <c r="C15" s="51">
        <v>46371</v>
      </c>
      <c r="D15" s="33"/>
      <c r="E15" s="8"/>
      <c r="F15" s="8">
        <v>125</v>
      </c>
      <c r="G15" s="8" t="s">
        <v>107</v>
      </c>
      <c r="H15" s="2"/>
      <c r="I15" s="2"/>
      <c r="J15" s="2"/>
      <c r="K15" s="2"/>
      <c r="L15" s="2"/>
      <c r="M15" s="2"/>
    </row>
    <row r="16" spans="1:17" ht="18.75" x14ac:dyDescent="0.3">
      <c r="A16" s="8">
        <v>11</v>
      </c>
      <c r="B16" s="8">
        <v>11</v>
      </c>
      <c r="C16" s="51">
        <v>46371</v>
      </c>
      <c r="D16" s="33"/>
      <c r="E16" s="8"/>
      <c r="F16" s="8">
        <v>125</v>
      </c>
      <c r="G16" s="8" t="s">
        <v>108</v>
      </c>
      <c r="H16" s="2"/>
      <c r="I16" s="2"/>
      <c r="J16" s="2"/>
      <c r="K16" s="2"/>
      <c r="L16" s="2"/>
      <c r="M16" s="2"/>
    </row>
    <row r="17" spans="1:13" ht="18.75" x14ac:dyDescent="0.3">
      <c r="A17" s="8">
        <v>12</v>
      </c>
      <c r="B17" s="8">
        <v>12</v>
      </c>
      <c r="C17" s="51">
        <v>46371</v>
      </c>
      <c r="D17" s="33"/>
      <c r="E17" s="8"/>
      <c r="F17" s="8">
        <v>125</v>
      </c>
      <c r="G17" s="8" t="s">
        <v>153</v>
      </c>
      <c r="H17" s="2"/>
      <c r="I17" s="2"/>
      <c r="J17" s="2"/>
      <c r="K17" s="2"/>
      <c r="L17" s="2"/>
      <c r="M17" s="2"/>
    </row>
    <row r="18" spans="1:13" ht="18.75" x14ac:dyDescent="0.3">
      <c r="A18" s="8"/>
      <c r="B18" s="8"/>
      <c r="C18" s="63"/>
      <c r="D18" s="8"/>
      <c r="E18" s="8"/>
      <c r="F18" s="8"/>
      <c r="G18" s="8"/>
      <c r="H18" s="2"/>
      <c r="I18" s="2"/>
      <c r="J18" s="2"/>
      <c r="K18" s="2"/>
      <c r="L18" s="2"/>
      <c r="M18" s="2"/>
    </row>
    <row r="19" spans="1:13" ht="18.75" x14ac:dyDescent="0.3">
      <c r="A19" s="8"/>
      <c r="B19" s="8"/>
      <c r="C19" s="63"/>
      <c r="D19" s="8"/>
      <c r="E19" s="8"/>
      <c r="F19" s="8"/>
      <c r="G19" s="8"/>
      <c r="H19" s="2"/>
      <c r="I19" s="2"/>
      <c r="J19" s="2"/>
      <c r="K19" s="2"/>
      <c r="L19" s="2"/>
      <c r="M19" s="2"/>
    </row>
    <row r="20" spans="1:13" ht="18.75" x14ac:dyDescent="0.3">
      <c r="A20" s="8"/>
      <c r="B20" s="8"/>
      <c r="C20" s="63"/>
      <c r="D20" s="8"/>
      <c r="E20" s="8"/>
      <c r="F20" s="8"/>
      <c r="G20" s="8"/>
      <c r="H20" s="2"/>
      <c r="I20" s="2"/>
      <c r="J20" s="2"/>
      <c r="K20" s="2"/>
      <c r="L20" s="2"/>
      <c r="M20" s="2"/>
    </row>
    <row r="21" spans="1:13" ht="18.75" x14ac:dyDescent="0.3">
      <c r="A21" s="8"/>
      <c r="B21" s="8"/>
      <c r="C21" s="63"/>
      <c r="D21" s="8"/>
      <c r="E21" s="8"/>
      <c r="F21" s="8"/>
      <c r="G21" s="8"/>
      <c r="H21" s="2"/>
      <c r="I21" s="2"/>
      <c r="J21" s="2"/>
      <c r="K21" s="2"/>
      <c r="L21" s="2"/>
      <c r="M21" s="2"/>
    </row>
    <row r="22" spans="1:13" ht="18.75" x14ac:dyDescent="0.3">
      <c r="A22" s="8"/>
      <c r="B22" s="8"/>
      <c r="C22" s="63"/>
      <c r="D22" s="8"/>
      <c r="E22" s="8"/>
      <c r="F22" s="8"/>
      <c r="G22" s="8"/>
      <c r="H22" s="2"/>
      <c r="I22" s="2"/>
      <c r="J22" s="2"/>
      <c r="K22" s="2"/>
      <c r="L22" s="2"/>
      <c r="M22" s="2"/>
    </row>
    <row r="23" spans="1:13" ht="18.75" x14ac:dyDescent="0.3">
      <c r="A23" s="8"/>
      <c r="B23" s="8"/>
      <c r="C23" s="63"/>
      <c r="D23" s="8"/>
      <c r="E23" s="8"/>
      <c r="F23" s="8"/>
      <c r="G23" s="8"/>
      <c r="H23" s="2"/>
      <c r="I23" s="2"/>
      <c r="J23" s="2"/>
      <c r="K23" s="2"/>
      <c r="L23" s="2"/>
      <c r="M23" s="2"/>
    </row>
    <row r="24" spans="1:13" ht="18.75" x14ac:dyDescent="0.3">
      <c r="A24" s="8"/>
      <c r="B24" s="8"/>
      <c r="C24" s="63"/>
      <c r="D24" s="8"/>
      <c r="E24" s="8"/>
      <c r="F24" s="8"/>
      <c r="G24" s="8"/>
      <c r="H24" s="2"/>
      <c r="I24" s="2"/>
      <c r="J24" s="2"/>
      <c r="K24" s="2"/>
      <c r="L24" s="2"/>
      <c r="M24" s="2"/>
    </row>
    <row r="25" spans="1:13" ht="18.75" x14ac:dyDescent="0.3">
      <c r="A25" s="8"/>
      <c r="B25" s="8"/>
      <c r="C25" s="63"/>
      <c r="D25" s="8"/>
      <c r="E25" s="8"/>
      <c r="F25" s="8"/>
      <c r="G25" s="8"/>
      <c r="H25" s="2"/>
      <c r="I25" s="2"/>
      <c r="J25" s="2"/>
      <c r="K25" s="2"/>
      <c r="L25" s="2"/>
      <c r="M25" s="2"/>
    </row>
    <row r="26" spans="1:13" ht="18.75" x14ac:dyDescent="0.3">
      <c r="A26" s="8"/>
      <c r="B26" s="8"/>
      <c r="C26" s="63"/>
      <c r="D26" s="8"/>
      <c r="E26" s="8"/>
      <c r="F26" s="8"/>
      <c r="G26" s="8"/>
      <c r="H26" s="2"/>
      <c r="I26" s="2"/>
      <c r="J26" s="2"/>
      <c r="K26" s="2"/>
      <c r="L26" s="2"/>
      <c r="M26" s="2"/>
    </row>
    <row r="27" spans="1:13" ht="18.75" x14ac:dyDescent="0.3">
      <c r="A27" s="8"/>
      <c r="B27" s="8"/>
      <c r="C27" s="63"/>
      <c r="D27" s="8"/>
      <c r="E27" s="8"/>
      <c r="F27" s="8"/>
      <c r="G27" s="8"/>
      <c r="H27" s="2"/>
      <c r="I27" s="2"/>
      <c r="J27" s="2"/>
      <c r="K27" s="2"/>
      <c r="L27" s="2"/>
      <c r="M27" s="2"/>
    </row>
    <row r="28" spans="1:13" ht="18.75" x14ac:dyDescent="0.3">
      <c r="A28" s="8"/>
      <c r="B28" s="8"/>
      <c r="C28" s="63"/>
      <c r="D28" s="8"/>
      <c r="E28" s="8"/>
      <c r="F28" s="8"/>
      <c r="G28" s="8"/>
      <c r="H28" s="2"/>
      <c r="I28" s="2"/>
      <c r="J28" s="2"/>
      <c r="K28" s="2"/>
      <c r="L28" s="2"/>
      <c r="M28" s="2"/>
    </row>
    <row r="29" spans="1:13" ht="18.75" x14ac:dyDescent="0.3">
      <c r="A29" s="8"/>
      <c r="B29" s="8"/>
      <c r="C29" s="63"/>
      <c r="D29" s="8"/>
      <c r="E29" s="8"/>
      <c r="F29" s="8"/>
      <c r="G29" s="8"/>
      <c r="H29" s="2"/>
      <c r="I29" s="2"/>
      <c r="J29" s="2"/>
      <c r="K29" s="2"/>
      <c r="L29" s="2"/>
      <c r="M29" s="2"/>
    </row>
    <row r="30" spans="1:13" ht="18.75" x14ac:dyDescent="0.3">
      <c r="A30" s="8"/>
      <c r="B30" s="8"/>
      <c r="C30" s="63"/>
      <c r="D30" s="8"/>
      <c r="E30" s="8"/>
      <c r="F30" s="8"/>
      <c r="G30" s="8"/>
      <c r="H30" s="2"/>
      <c r="I30" s="2"/>
      <c r="J30" s="2"/>
      <c r="K30" s="2"/>
      <c r="L30" s="2"/>
      <c r="M30" s="2"/>
    </row>
    <row r="31" spans="1:13" ht="18.75" x14ac:dyDescent="0.3">
      <c r="A31" s="8"/>
      <c r="B31" s="8"/>
      <c r="C31" s="63"/>
      <c r="D31" s="8"/>
      <c r="E31" s="8"/>
      <c r="F31" s="8"/>
      <c r="G31" s="8"/>
      <c r="H31" s="2"/>
      <c r="I31" s="2"/>
      <c r="J31" s="2"/>
      <c r="K31" s="2"/>
      <c r="L31" s="2"/>
      <c r="M31" s="2"/>
    </row>
    <row r="32" spans="1:13" ht="18.75" x14ac:dyDescent="0.3">
      <c r="A32" s="8"/>
      <c r="B32" s="8"/>
      <c r="C32" s="63"/>
      <c r="D32" s="8"/>
      <c r="E32" s="8"/>
      <c r="F32" s="8"/>
      <c r="G32" s="8"/>
      <c r="H32" s="2"/>
      <c r="I32" s="2"/>
      <c r="J32" s="2"/>
      <c r="K32" s="2"/>
      <c r="L32" s="2"/>
      <c r="M32" s="2"/>
    </row>
    <row r="33" spans="1:13" ht="18.75" x14ac:dyDescent="0.3">
      <c r="A33" s="8"/>
      <c r="B33" s="8"/>
      <c r="C33" s="63"/>
      <c r="D33" s="8"/>
      <c r="E33" s="8"/>
      <c r="F33" s="8"/>
      <c r="G33" s="8"/>
      <c r="H33" s="2"/>
      <c r="I33" s="2"/>
      <c r="J33" s="2"/>
      <c r="K33" s="2"/>
      <c r="L33" s="2"/>
      <c r="M33" s="2"/>
    </row>
    <row r="34" spans="1:13" ht="18.75" x14ac:dyDescent="0.3">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1" workbookViewId="0">
      <selection activeCell="L18" sqref="L18"/>
    </sheetView>
  </sheetViews>
  <sheetFormatPr defaultRowHeight="15" x14ac:dyDescent="0.25"/>
  <cols>
    <col min="1" max="1" width="4.42578125" style="3" customWidth="1"/>
    <col min="2" max="2" width="4.140625" style="68" bestFit="1" customWidth="1"/>
    <col min="3" max="3" width="14.85546875" style="78" bestFit="1" customWidth="1"/>
    <col min="4" max="4" width="8.28515625" style="66" bestFit="1" customWidth="1"/>
    <col min="5" max="5" width="24.7109375" style="3" bestFit="1" customWidth="1"/>
    <col min="6" max="6" width="9.71093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7.75" x14ac:dyDescent="0.4">
      <c r="C3" s="75"/>
      <c r="D3" s="18" t="s">
        <v>8</v>
      </c>
      <c r="E3" s="18"/>
      <c r="F3" s="18" t="s">
        <v>18</v>
      </c>
      <c r="G3" s="1"/>
      <c r="H3" s="1"/>
      <c r="I3" s="1"/>
      <c r="J3" s="1"/>
      <c r="K3" s="1"/>
      <c r="L3" s="1"/>
      <c r="M3" s="1"/>
      <c r="N3" s="1"/>
      <c r="O3" s="1"/>
      <c r="P3" s="1"/>
      <c r="Q3" s="1"/>
    </row>
    <row r="4" spans="1:17" ht="18.75" x14ac:dyDescent="0.3">
      <c r="C4" s="76"/>
      <c r="D4" s="83">
        <f>SUM(D6:D2001)</f>
        <v>250</v>
      </c>
      <c r="E4" s="11"/>
      <c r="F4" s="83">
        <f>SUM(F6:F2001)</f>
        <v>3000</v>
      </c>
    </row>
    <row r="5" spans="1:17" ht="56.25" x14ac:dyDescent="0.25">
      <c r="A5" s="4" t="s">
        <v>7</v>
      </c>
      <c r="B5" s="4" t="s">
        <v>17</v>
      </c>
      <c r="C5" s="50" t="s">
        <v>1</v>
      </c>
      <c r="D5" s="4" t="s">
        <v>2</v>
      </c>
      <c r="E5" s="4" t="s">
        <v>4</v>
      </c>
      <c r="F5" s="4" t="s">
        <v>19</v>
      </c>
      <c r="G5" s="4" t="s">
        <v>4</v>
      </c>
      <c r="H5" s="5"/>
      <c r="I5" s="5"/>
      <c r="J5" s="5"/>
      <c r="K5" s="5"/>
      <c r="L5" s="5"/>
      <c r="M5" s="5"/>
    </row>
    <row r="6" spans="1:17" ht="18.75" x14ac:dyDescent="0.3">
      <c r="A6" s="8">
        <v>1</v>
      </c>
      <c r="B6" s="73">
        <v>1</v>
      </c>
      <c r="C6" s="77">
        <v>46026</v>
      </c>
      <c r="D6" s="33">
        <v>250</v>
      </c>
      <c r="E6" s="8"/>
      <c r="F6" s="33">
        <v>250</v>
      </c>
      <c r="G6" s="8" t="s">
        <v>219</v>
      </c>
      <c r="H6" s="2"/>
      <c r="I6" s="2"/>
      <c r="J6" s="2"/>
      <c r="K6" s="2"/>
      <c r="L6" s="2"/>
      <c r="M6" s="2"/>
    </row>
    <row r="7" spans="1:17" ht="18.75" x14ac:dyDescent="0.3">
      <c r="A7" s="8">
        <v>2</v>
      </c>
      <c r="B7" s="73">
        <v>2</v>
      </c>
      <c r="C7" s="77"/>
      <c r="D7" s="33"/>
      <c r="E7" s="8"/>
      <c r="F7" s="33">
        <v>250</v>
      </c>
      <c r="G7" s="8" t="s">
        <v>99</v>
      </c>
      <c r="H7" s="2"/>
      <c r="I7" s="2"/>
      <c r="J7" s="2"/>
      <c r="K7" s="2"/>
      <c r="L7" s="2"/>
      <c r="M7" s="2"/>
    </row>
    <row r="8" spans="1:17" ht="18.75" x14ac:dyDescent="0.3">
      <c r="A8" s="8">
        <v>3</v>
      </c>
      <c r="B8" s="73">
        <v>3</v>
      </c>
      <c r="C8" s="77"/>
      <c r="D8" s="33"/>
      <c r="E8" s="8"/>
      <c r="F8" s="33">
        <v>250</v>
      </c>
      <c r="G8" s="8" t="s">
        <v>100</v>
      </c>
      <c r="H8" s="2"/>
      <c r="I8" s="2"/>
      <c r="J8" s="2"/>
      <c r="K8" s="2"/>
      <c r="L8" s="2"/>
      <c r="M8" s="2"/>
    </row>
    <row r="9" spans="1:17" ht="18.75" x14ac:dyDescent="0.3">
      <c r="A9" s="8">
        <v>4</v>
      </c>
      <c r="B9" s="73">
        <v>4</v>
      </c>
      <c r="C9" s="77"/>
      <c r="D9" s="33"/>
      <c r="E9" s="8"/>
      <c r="F9" s="33">
        <v>250</v>
      </c>
      <c r="G9" s="8" t="s">
        <v>101</v>
      </c>
      <c r="H9" s="2"/>
      <c r="I9" s="2"/>
      <c r="J9" s="2"/>
      <c r="K9" s="2"/>
      <c r="L9" s="2"/>
      <c r="M9" s="2"/>
    </row>
    <row r="10" spans="1:17" ht="18.75" x14ac:dyDescent="0.3">
      <c r="A10" s="8">
        <v>5</v>
      </c>
      <c r="B10" s="73">
        <v>5</v>
      </c>
      <c r="C10" s="77"/>
      <c r="D10" s="33"/>
      <c r="E10" s="8"/>
      <c r="F10" s="33">
        <v>250</v>
      </c>
      <c r="G10" s="8" t="s">
        <v>102</v>
      </c>
      <c r="H10" s="2"/>
      <c r="I10" s="2"/>
      <c r="J10" s="2"/>
      <c r="K10" s="2"/>
      <c r="L10" s="2"/>
      <c r="M10" s="2"/>
    </row>
    <row r="11" spans="1:17" ht="18.75" x14ac:dyDescent="0.3">
      <c r="A11" s="8">
        <v>6</v>
      </c>
      <c r="B11" s="73">
        <v>6</v>
      </c>
      <c r="C11" s="77"/>
      <c r="D11" s="33"/>
      <c r="E11" s="8"/>
      <c r="F11" s="33">
        <v>250</v>
      </c>
      <c r="G11" s="8" t="s">
        <v>103</v>
      </c>
      <c r="H11" s="2"/>
      <c r="I11" s="2"/>
      <c r="J11" s="2"/>
      <c r="K11" s="2"/>
      <c r="L11" s="2"/>
      <c r="M11" s="2"/>
    </row>
    <row r="12" spans="1:17" ht="18.75" x14ac:dyDescent="0.3">
      <c r="A12" s="8">
        <v>7</v>
      </c>
      <c r="B12" s="73">
        <v>7</v>
      </c>
      <c r="C12" s="77"/>
      <c r="D12" s="33"/>
      <c r="E12" s="8"/>
      <c r="F12" s="33">
        <v>250</v>
      </c>
      <c r="G12" s="8" t="s">
        <v>104</v>
      </c>
      <c r="H12" s="2"/>
      <c r="I12" s="2"/>
      <c r="J12" s="2"/>
      <c r="K12" s="2"/>
      <c r="L12" s="2"/>
      <c r="M12" s="2"/>
    </row>
    <row r="13" spans="1:17" ht="18.75" x14ac:dyDescent="0.3">
      <c r="A13" s="8">
        <v>8</v>
      </c>
      <c r="B13" s="73">
        <v>8</v>
      </c>
      <c r="C13" s="77"/>
      <c r="D13" s="33"/>
      <c r="E13" s="8"/>
      <c r="F13" s="33">
        <v>250</v>
      </c>
      <c r="G13" s="8" t="s">
        <v>105</v>
      </c>
      <c r="H13" s="2"/>
      <c r="I13" s="2"/>
      <c r="J13" s="2"/>
      <c r="K13" s="2"/>
      <c r="L13" s="2"/>
      <c r="M13" s="2"/>
    </row>
    <row r="14" spans="1:17" ht="18.75" x14ac:dyDescent="0.3">
      <c r="A14" s="8">
        <v>9</v>
      </c>
      <c r="B14" s="73">
        <v>9</v>
      </c>
      <c r="C14" s="77"/>
      <c r="D14" s="33"/>
      <c r="E14" s="8"/>
      <c r="F14" s="33">
        <v>250</v>
      </c>
      <c r="G14" s="8" t="s">
        <v>106</v>
      </c>
      <c r="H14" s="2"/>
      <c r="I14" s="2"/>
      <c r="J14" s="2"/>
      <c r="K14" s="2"/>
      <c r="L14" s="2"/>
      <c r="M14" s="2"/>
    </row>
    <row r="15" spans="1:17" ht="18.75" x14ac:dyDescent="0.3">
      <c r="A15" s="8">
        <v>10</v>
      </c>
      <c r="B15" s="73">
        <v>10</v>
      </c>
      <c r="C15" s="77"/>
      <c r="D15" s="33"/>
      <c r="E15" s="8"/>
      <c r="F15" s="33">
        <v>250</v>
      </c>
      <c r="G15" s="8" t="s">
        <v>107</v>
      </c>
      <c r="H15" s="2"/>
      <c r="I15" s="2"/>
      <c r="J15" s="2"/>
      <c r="K15" s="2"/>
      <c r="L15" s="2"/>
      <c r="M15" s="2"/>
    </row>
    <row r="16" spans="1:17" ht="18.75" x14ac:dyDescent="0.3">
      <c r="A16" s="8">
        <v>11</v>
      </c>
      <c r="B16" s="73">
        <v>11</v>
      </c>
      <c r="C16" s="77"/>
      <c r="D16" s="33"/>
      <c r="E16" s="8"/>
      <c r="F16" s="33">
        <v>250</v>
      </c>
      <c r="G16" s="8" t="s">
        <v>108</v>
      </c>
      <c r="H16" s="2"/>
      <c r="I16" s="2"/>
      <c r="J16" s="2"/>
      <c r="K16" s="2"/>
      <c r="L16" s="2"/>
      <c r="M16" s="2"/>
    </row>
    <row r="17" spans="1:13" ht="18.75" x14ac:dyDescent="0.3">
      <c r="A17" s="8">
        <v>12</v>
      </c>
      <c r="B17" s="73">
        <v>12</v>
      </c>
      <c r="C17" s="77"/>
      <c r="D17" s="33"/>
      <c r="E17" s="8"/>
      <c r="F17" s="33">
        <v>250</v>
      </c>
      <c r="G17" s="8" t="s">
        <v>109</v>
      </c>
      <c r="H17" s="2"/>
      <c r="I17" s="2"/>
      <c r="J17" s="2"/>
      <c r="K17" s="2"/>
      <c r="L17" s="2"/>
      <c r="M17" s="2"/>
    </row>
    <row r="18" spans="1:13" ht="18.75" x14ac:dyDescent="0.3">
      <c r="A18" s="8"/>
      <c r="B18" s="73"/>
      <c r="C18" s="77"/>
      <c r="D18" s="33"/>
      <c r="E18" s="8"/>
      <c r="F18" s="33"/>
      <c r="G18" s="8"/>
      <c r="H18" s="2"/>
      <c r="I18" s="2"/>
      <c r="J18" s="2"/>
      <c r="K18" s="2"/>
      <c r="L18" s="2"/>
      <c r="M18" s="2"/>
    </row>
    <row r="19" spans="1:13" ht="18.75" x14ac:dyDescent="0.3">
      <c r="A19" s="8"/>
      <c r="B19" s="73"/>
      <c r="C19" s="77"/>
      <c r="D19" s="33"/>
      <c r="E19" s="8"/>
      <c r="F19" s="33"/>
      <c r="G19" s="8"/>
      <c r="H19" s="2"/>
      <c r="I19" s="2"/>
      <c r="J19" s="2"/>
      <c r="K19" s="2"/>
      <c r="L19" s="2"/>
      <c r="M19" s="2"/>
    </row>
    <row r="20" spans="1:13" ht="18.75" x14ac:dyDescent="0.3">
      <c r="A20" s="8"/>
      <c r="B20" s="73"/>
      <c r="C20" s="77"/>
      <c r="D20" s="33"/>
      <c r="E20" s="8"/>
      <c r="F20" s="33"/>
      <c r="G20" s="8"/>
      <c r="H20" s="2"/>
      <c r="I20" s="2"/>
      <c r="J20" s="2"/>
      <c r="K20" s="2"/>
      <c r="L20" s="2"/>
      <c r="M20" s="2"/>
    </row>
    <row r="21" spans="1:13" ht="18.75" x14ac:dyDescent="0.3">
      <c r="A21" s="8"/>
      <c r="B21" s="73"/>
      <c r="C21" s="77"/>
      <c r="D21" s="33"/>
      <c r="E21" s="8"/>
      <c r="F21" s="33"/>
      <c r="G21" s="8"/>
      <c r="H21" s="2"/>
      <c r="I21" s="2"/>
      <c r="J21" s="2"/>
      <c r="K21" s="2"/>
      <c r="L21" s="2"/>
      <c r="M21" s="2"/>
    </row>
    <row r="22" spans="1:13" ht="18.75" x14ac:dyDescent="0.3">
      <c r="A22" s="8"/>
      <c r="B22" s="73"/>
      <c r="C22" s="77"/>
      <c r="D22" s="33"/>
      <c r="E22" s="8"/>
      <c r="F22" s="33"/>
      <c r="G22" s="8"/>
      <c r="H22" s="2"/>
      <c r="I22" s="2"/>
      <c r="J22" s="2"/>
      <c r="K22" s="2"/>
      <c r="L22" s="2"/>
      <c r="M22" s="2"/>
    </row>
    <row r="23" spans="1:13" ht="18.75" x14ac:dyDescent="0.3">
      <c r="A23" s="8"/>
      <c r="B23" s="73"/>
      <c r="C23" s="77"/>
      <c r="D23" s="33"/>
      <c r="E23" s="8"/>
      <c r="F23" s="33"/>
      <c r="G23" s="8"/>
      <c r="H23" s="2"/>
      <c r="I23" s="2"/>
      <c r="J23" s="2"/>
      <c r="K23" s="2"/>
      <c r="L23" s="2"/>
      <c r="M23" s="2"/>
    </row>
    <row r="24" spans="1:13" ht="18.75" x14ac:dyDescent="0.3">
      <c r="A24" s="8"/>
      <c r="B24" s="73"/>
      <c r="C24" s="77"/>
      <c r="D24" s="33"/>
      <c r="E24" s="8"/>
      <c r="F24" s="33"/>
      <c r="G24" s="8"/>
      <c r="H24" s="2"/>
      <c r="I24" s="2"/>
      <c r="J24" s="2"/>
      <c r="K24" s="2"/>
      <c r="L24" s="2"/>
      <c r="M24" s="2"/>
    </row>
    <row r="25" spans="1:13" ht="18.75" x14ac:dyDescent="0.3">
      <c r="A25" s="8"/>
      <c r="B25" s="73"/>
      <c r="C25" s="77"/>
      <c r="D25" s="33"/>
      <c r="E25" s="8"/>
      <c r="F25" s="33"/>
      <c r="G25" s="8"/>
      <c r="H25" s="2"/>
      <c r="I25" s="2"/>
      <c r="J25" s="2"/>
      <c r="K25" s="2"/>
      <c r="L25" s="2"/>
      <c r="M25" s="2"/>
    </row>
    <row r="26" spans="1:13" ht="18.75" x14ac:dyDescent="0.3">
      <c r="A26" s="8"/>
      <c r="B26" s="73"/>
      <c r="C26" s="77"/>
      <c r="D26" s="33"/>
      <c r="E26" s="8"/>
      <c r="F26" s="33"/>
      <c r="G26" s="8"/>
      <c r="H26" s="2"/>
      <c r="I26" s="2"/>
      <c r="J26" s="2"/>
      <c r="K26" s="2"/>
      <c r="L26" s="2"/>
      <c r="M26" s="2"/>
    </row>
    <row r="27" spans="1:13" ht="18.75" x14ac:dyDescent="0.3">
      <c r="A27" s="8"/>
      <c r="B27" s="73"/>
      <c r="C27" s="77"/>
      <c r="D27" s="33"/>
      <c r="E27" s="8"/>
      <c r="F27" s="33"/>
      <c r="G27" s="8"/>
      <c r="H27" s="2"/>
      <c r="I27" s="2"/>
      <c r="J27" s="2"/>
      <c r="K27" s="2"/>
      <c r="L27" s="2"/>
      <c r="M27" s="2"/>
    </row>
    <row r="28" spans="1:13" ht="18.75" x14ac:dyDescent="0.3">
      <c r="A28" s="8"/>
      <c r="B28" s="73"/>
      <c r="C28" s="77"/>
      <c r="D28" s="33"/>
      <c r="E28" s="8"/>
      <c r="F28" s="33"/>
      <c r="G28" s="8"/>
      <c r="H28" s="2"/>
      <c r="I28" s="2"/>
      <c r="J28" s="2"/>
      <c r="K28" s="2"/>
      <c r="L28" s="2"/>
      <c r="M28" s="2"/>
    </row>
    <row r="29" spans="1:13" ht="18.75" x14ac:dyDescent="0.3">
      <c r="A29" s="8"/>
      <c r="B29" s="73"/>
      <c r="C29" s="77"/>
      <c r="D29" s="33"/>
      <c r="E29" s="8"/>
      <c r="F29" s="33"/>
      <c r="G29" s="8"/>
      <c r="H29" s="2"/>
      <c r="I29" s="2"/>
      <c r="J29" s="2"/>
      <c r="K29" s="2"/>
      <c r="L29" s="2"/>
      <c r="M29" s="2"/>
    </row>
    <row r="30" spans="1:13" ht="18.75" x14ac:dyDescent="0.3">
      <c r="A30" s="8"/>
      <c r="B30" s="73"/>
      <c r="C30" s="77"/>
      <c r="D30" s="33"/>
      <c r="E30" s="8"/>
      <c r="F30" s="33"/>
      <c r="G30" s="8"/>
      <c r="H30" s="2"/>
      <c r="I30" s="2"/>
      <c r="J30" s="2"/>
      <c r="K30" s="2"/>
      <c r="L30" s="2"/>
      <c r="M30" s="2"/>
    </row>
    <row r="31" spans="1:13" ht="18.75" x14ac:dyDescent="0.3">
      <c r="A31" s="8"/>
      <c r="B31" s="73"/>
      <c r="C31" s="77"/>
      <c r="D31" s="33"/>
      <c r="E31" s="8"/>
      <c r="F31" s="33"/>
      <c r="G31" s="8"/>
      <c r="H31" s="2"/>
      <c r="I31" s="2"/>
      <c r="J31" s="2"/>
      <c r="K31" s="2"/>
      <c r="L31" s="2"/>
      <c r="M31" s="2"/>
    </row>
    <row r="32" spans="1:13" ht="18.75" x14ac:dyDescent="0.3">
      <c r="A32" s="8"/>
      <c r="B32" s="73"/>
      <c r="C32" s="77"/>
      <c r="D32" s="33"/>
      <c r="E32" s="8"/>
      <c r="F32" s="33"/>
      <c r="G32" s="8"/>
      <c r="H32" s="2"/>
      <c r="I32" s="2"/>
      <c r="J32" s="2"/>
      <c r="K32" s="2"/>
      <c r="L32" s="2"/>
      <c r="M32" s="2"/>
    </row>
    <row r="33" spans="1:13" ht="18.75" x14ac:dyDescent="0.3">
      <c r="A33" s="8"/>
      <c r="B33" s="73"/>
      <c r="C33" s="77"/>
      <c r="D33" s="33"/>
      <c r="E33" s="8"/>
      <c r="F33" s="33"/>
      <c r="G33" s="8"/>
      <c r="H33" s="2"/>
      <c r="I33" s="2"/>
      <c r="J33" s="2"/>
      <c r="K33" s="2"/>
      <c r="L33" s="2"/>
      <c r="M33" s="2"/>
    </row>
    <row r="34" spans="1:13" ht="18.75" x14ac:dyDescent="0.3">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6" sqref="D6:D17"/>
    </sheetView>
  </sheetViews>
  <sheetFormatPr defaultRowHeight="15" x14ac:dyDescent="0.25"/>
  <cols>
    <col min="1" max="2" width="4.42578125" style="3" customWidth="1"/>
    <col min="3" max="3" width="14.85546875" style="52" bestFit="1" customWidth="1"/>
    <col min="4" max="4" width="8.28515625" style="66" bestFit="1" customWidth="1"/>
    <col min="5" max="5" width="24.7109375" style="3" bestFit="1" customWidth="1"/>
    <col min="6" max="6" width="9.7109375" style="3" customWidth="1"/>
    <col min="7" max="7" width="9" style="3"/>
    <col min="14" max="14" width="11.28515625" customWidth="1"/>
  </cols>
  <sheetData>
    <row r="2" spans="1:17" ht="26.25" x14ac:dyDescent="0.4">
      <c r="C2" s="98" t="s">
        <v>114</v>
      </c>
      <c r="D2" s="98"/>
      <c r="E2" s="98"/>
      <c r="F2" s="98"/>
      <c r="G2" s="98"/>
      <c r="H2" s="98"/>
      <c r="I2" s="98"/>
      <c r="J2" s="98"/>
      <c r="K2" s="98"/>
      <c r="L2" s="98"/>
      <c r="M2" s="98"/>
      <c r="N2" s="98"/>
      <c r="O2" s="98"/>
      <c r="P2" s="98"/>
      <c r="Q2" s="98"/>
    </row>
    <row r="3" spans="1:17" ht="57.75" x14ac:dyDescent="0.4">
      <c r="C3" s="57"/>
      <c r="D3" s="18" t="s">
        <v>8</v>
      </c>
      <c r="E3" s="18"/>
      <c r="F3" s="18" t="s">
        <v>18</v>
      </c>
      <c r="G3" s="1"/>
      <c r="H3" s="1"/>
      <c r="I3" s="1"/>
      <c r="J3" s="1"/>
      <c r="K3" s="1"/>
      <c r="L3" s="1"/>
      <c r="M3" s="1"/>
      <c r="N3" s="1"/>
      <c r="O3" s="1"/>
      <c r="P3" s="1"/>
      <c r="Q3" s="1"/>
    </row>
    <row r="4" spans="1:17" ht="18.75" x14ac:dyDescent="0.3">
      <c r="C4" s="49"/>
      <c r="D4" s="83">
        <f>SUM(D6:D2001)</f>
        <v>0</v>
      </c>
      <c r="E4" s="11"/>
      <c r="F4" s="11">
        <f>SUM(F6:F2001)</f>
        <v>1500</v>
      </c>
    </row>
    <row r="5" spans="1:17" ht="56.25" x14ac:dyDescent="0.25">
      <c r="A5" s="4" t="s">
        <v>7</v>
      </c>
      <c r="B5" s="4" t="s">
        <v>17</v>
      </c>
      <c r="C5" s="50" t="s">
        <v>1</v>
      </c>
      <c r="D5" s="4" t="s">
        <v>2</v>
      </c>
      <c r="E5" s="4" t="s">
        <v>4</v>
      </c>
      <c r="F5" s="4" t="s">
        <v>19</v>
      </c>
      <c r="G5" s="4" t="s">
        <v>4</v>
      </c>
      <c r="H5" s="5"/>
      <c r="I5" s="5"/>
      <c r="J5" s="5"/>
      <c r="K5" s="5"/>
      <c r="L5" s="5"/>
      <c r="M5" s="5"/>
    </row>
    <row r="6" spans="1:17" ht="18.75" x14ac:dyDescent="0.3">
      <c r="A6" s="8">
        <v>1</v>
      </c>
      <c r="B6" s="8">
        <v>1</v>
      </c>
      <c r="C6" s="51">
        <v>46134</v>
      </c>
      <c r="D6" s="33"/>
      <c r="E6" s="8"/>
      <c r="F6" s="8">
        <v>125</v>
      </c>
      <c r="G6" s="8" t="s">
        <v>112</v>
      </c>
      <c r="H6" s="2"/>
      <c r="I6" s="2"/>
      <c r="J6" s="2"/>
      <c r="K6" s="2"/>
      <c r="L6" s="2"/>
      <c r="M6" s="2"/>
    </row>
    <row r="7" spans="1:17" ht="18.75" x14ac:dyDescent="0.3">
      <c r="A7" s="8">
        <v>2</v>
      </c>
      <c r="B7" s="8">
        <v>2</v>
      </c>
      <c r="C7" s="51">
        <v>46134</v>
      </c>
      <c r="D7" s="33"/>
      <c r="E7" s="8"/>
      <c r="F7" s="8">
        <v>125</v>
      </c>
      <c r="G7" s="8" t="s">
        <v>113</v>
      </c>
      <c r="H7" s="2"/>
      <c r="I7" s="2"/>
      <c r="J7" s="2"/>
      <c r="K7" s="2"/>
      <c r="L7" s="2"/>
      <c r="M7" s="2"/>
    </row>
    <row r="8" spans="1:17" ht="18.75" x14ac:dyDescent="0.3">
      <c r="A8" s="8">
        <v>3</v>
      </c>
      <c r="B8" s="8">
        <v>3</v>
      </c>
      <c r="C8" s="51">
        <v>46242</v>
      </c>
      <c r="D8" s="33"/>
      <c r="E8" s="8"/>
      <c r="F8" s="8">
        <v>125</v>
      </c>
      <c r="G8" s="8" t="s">
        <v>100</v>
      </c>
      <c r="H8" s="2"/>
      <c r="I8" s="2"/>
      <c r="J8" s="2"/>
      <c r="K8" s="2"/>
      <c r="L8" s="2"/>
      <c r="M8" s="2"/>
    </row>
    <row r="9" spans="1:17" ht="18.75" x14ac:dyDescent="0.3">
      <c r="A9" s="8">
        <v>4</v>
      </c>
      <c r="B9" s="8">
        <v>4</v>
      </c>
      <c r="C9" s="51">
        <v>46242</v>
      </c>
      <c r="D9" s="33"/>
      <c r="E9" s="8"/>
      <c r="F9" s="8">
        <v>125</v>
      </c>
      <c r="G9" s="8" t="s">
        <v>101</v>
      </c>
      <c r="H9" s="2"/>
      <c r="I9" s="2"/>
      <c r="J9" s="2"/>
      <c r="K9" s="2"/>
      <c r="L9" s="2"/>
      <c r="M9" s="2"/>
    </row>
    <row r="10" spans="1:17" ht="18.75" x14ac:dyDescent="0.3">
      <c r="A10" s="8">
        <v>5</v>
      </c>
      <c r="B10" s="8">
        <v>5</v>
      </c>
      <c r="C10" s="51">
        <v>46242</v>
      </c>
      <c r="D10" s="33"/>
      <c r="E10" s="8"/>
      <c r="F10" s="8">
        <v>125</v>
      </c>
      <c r="G10" s="8" t="s">
        <v>102</v>
      </c>
      <c r="H10" s="2"/>
      <c r="I10" s="2"/>
      <c r="J10" s="2"/>
      <c r="K10" s="2"/>
      <c r="L10" s="2"/>
      <c r="M10" s="2"/>
    </row>
    <row r="11" spans="1:17" ht="18.75" x14ac:dyDescent="0.3">
      <c r="A11" s="8">
        <v>6</v>
      </c>
      <c r="B11" s="8">
        <v>6</v>
      </c>
      <c r="C11" s="51">
        <v>46242</v>
      </c>
      <c r="D11" s="33"/>
      <c r="E11" s="8"/>
      <c r="F11" s="8">
        <v>125</v>
      </c>
      <c r="G11" s="8" t="s">
        <v>103</v>
      </c>
      <c r="H11" s="2"/>
      <c r="I11" s="2"/>
      <c r="J11" s="2"/>
      <c r="K11" s="2"/>
      <c r="L11" s="2"/>
      <c r="M11" s="2"/>
    </row>
    <row r="12" spans="1:17" ht="18.75" x14ac:dyDescent="0.3">
      <c r="A12" s="8">
        <v>7</v>
      </c>
      <c r="B12" s="8">
        <v>7</v>
      </c>
      <c r="C12" s="51">
        <v>46242</v>
      </c>
      <c r="D12" s="33"/>
      <c r="E12" s="8"/>
      <c r="F12" s="8">
        <v>125</v>
      </c>
      <c r="G12" s="8" t="s">
        <v>104</v>
      </c>
      <c r="H12" s="2"/>
      <c r="I12" s="2"/>
      <c r="J12" s="2"/>
      <c r="K12" s="2"/>
      <c r="L12" s="2"/>
      <c r="M12" s="2"/>
    </row>
    <row r="13" spans="1:17" ht="18.75" x14ac:dyDescent="0.3">
      <c r="A13" s="8">
        <v>8</v>
      </c>
      <c r="B13" s="8">
        <v>8</v>
      </c>
      <c r="C13" s="51">
        <v>46371</v>
      </c>
      <c r="D13" s="33"/>
      <c r="E13" s="8"/>
      <c r="F13" s="8">
        <v>125</v>
      </c>
      <c r="G13" s="8" t="s">
        <v>105</v>
      </c>
      <c r="H13" s="2"/>
      <c r="I13" s="2"/>
      <c r="J13" s="2"/>
      <c r="K13" s="2"/>
      <c r="L13" s="2"/>
      <c r="M13" s="2"/>
    </row>
    <row r="14" spans="1:17" ht="18.75" x14ac:dyDescent="0.3">
      <c r="A14" s="8">
        <v>9</v>
      </c>
      <c r="B14" s="8">
        <v>9</v>
      </c>
      <c r="C14" s="51">
        <v>46371</v>
      </c>
      <c r="D14" s="33"/>
      <c r="E14" s="8"/>
      <c r="F14" s="8">
        <v>125</v>
      </c>
      <c r="G14" s="8" t="s">
        <v>106</v>
      </c>
      <c r="H14" s="2"/>
      <c r="I14" s="2"/>
      <c r="J14" s="2"/>
      <c r="K14" s="2"/>
      <c r="L14" s="2"/>
      <c r="M14" s="2"/>
    </row>
    <row r="15" spans="1:17" ht="18.75" x14ac:dyDescent="0.3">
      <c r="A15" s="8">
        <v>10</v>
      </c>
      <c r="B15" s="8">
        <v>10</v>
      </c>
      <c r="C15" s="51">
        <v>46371</v>
      </c>
      <c r="D15" s="33"/>
      <c r="E15" s="8"/>
      <c r="F15" s="8">
        <v>125</v>
      </c>
      <c r="G15" s="8" t="s">
        <v>107</v>
      </c>
      <c r="H15" s="2"/>
      <c r="I15" s="2"/>
      <c r="J15" s="2"/>
      <c r="K15" s="2"/>
      <c r="L15" s="2"/>
      <c r="M15" s="2"/>
    </row>
    <row r="16" spans="1:17" ht="18.75" x14ac:dyDescent="0.3">
      <c r="A16" s="8">
        <v>11</v>
      </c>
      <c r="B16" s="8">
        <v>11</v>
      </c>
      <c r="C16" s="51">
        <v>46371</v>
      </c>
      <c r="D16" s="33"/>
      <c r="E16" s="8"/>
      <c r="F16" s="8">
        <v>125</v>
      </c>
      <c r="G16" s="8" t="s">
        <v>108</v>
      </c>
      <c r="H16" s="2"/>
      <c r="I16" s="2"/>
      <c r="J16" s="2"/>
      <c r="K16" s="2"/>
      <c r="L16" s="2"/>
      <c r="M16" s="2"/>
    </row>
    <row r="17" spans="1:17" ht="18.75" x14ac:dyDescent="0.3">
      <c r="A17" s="8">
        <v>12</v>
      </c>
      <c r="B17" s="8">
        <v>12</v>
      </c>
      <c r="C17" s="51">
        <v>46371</v>
      </c>
      <c r="D17" s="33"/>
      <c r="E17" s="8"/>
      <c r="F17" s="8">
        <v>125</v>
      </c>
      <c r="G17" s="8" t="s">
        <v>109</v>
      </c>
      <c r="H17" s="2"/>
      <c r="I17" s="2"/>
      <c r="J17" s="2"/>
      <c r="K17" s="2"/>
      <c r="L17" s="2"/>
      <c r="M17" s="2"/>
    </row>
    <row r="18" spans="1:17" ht="18.75" x14ac:dyDescent="0.3">
      <c r="A18" s="8"/>
      <c r="B18" s="8"/>
      <c r="C18" s="51"/>
      <c r="D18" s="33"/>
      <c r="E18" s="8"/>
      <c r="F18" s="8"/>
      <c r="G18" s="8"/>
      <c r="H18" s="2"/>
      <c r="I18" s="2"/>
      <c r="J18" s="2"/>
      <c r="K18" s="2"/>
      <c r="L18" s="2"/>
      <c r="M18" s="2"/>
    </row>
    <row r="19" spans="1:17" ht="18.75" x14ac:dyDescent="0.3">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75" x14ac:dyDescent="0.3">
      <c r="A22" s="8"/>
      <c r="B22" s="8"/>
      <c r="C22" s="51"/>
      <c r="D22" s="33"/>
      <c r="E22" s="8"/>
      <c r="F22" s="8"/>
      <c r="G22" s="22" t="s">
        <v>7</v>
      </c>
      <c r="H22" s="36" t="s">
        <v>33</v>
      </c>
      <c r="I22" s="36" t="s">
        <v>95</v>
      </c>
      <c r="J22" s="36" t="s">
        <v>4</v>
      </c>
      <c r="K22" s="36"/>
      <c r="L22" s="36"/>
      <c r="M22" s="36"/>
      <c r="N22" s="37"/>
      <c r="O22" s="37"/>
      <c r="P22" s="37"/>
    </row>
    <row r="23" spans="1:17" ht="36.75" customHeight="1" x14ac:dyDescent="0.3">
      <c r="A23" s="8"/>
      <c r="B23" s="8"/>
      <c r="C23" s="51"/>
      <c r="D23" s="33"/>
      <c r="E23" s="8"/>
      <c r="F23" s="8"/>
      <c r="G23" s="48"/>
      <c r="H23" s="48"/>
      <c r="I23" s="48"/>
      <c r="J23" s="104"/>
      <c r="K23" s="104"/>
      <c r="L23" s="104"/>
      <c r="M23" s="104"/>
      <c r="N23" s="104"/>
      <c r="O23" s="104"/>
      <c r="P23" s="104"/>
    </row>
    <row r="24" spans="1:17" ht="18.75" x14ac:dyDescent="0.3">
      <c r="A24" s="8"/>
      <c r="B24" s="8"/>
      <c r="C24" s="51"/>
      <c r="D24" s="33"/>
      <c r="E24" s="8"/>
      <c r="F24" s="8"/>
      <c r="G24" s="8">
        <v>1</v>
      </c>
      <c r="H24" s="8"/>
      <c r="I24" s="8"/>
      <c r="J24" s="104"/>
      <c r="K24" s="104"/>
      <c r="L24" s="104"/>
      <c r="M24" s="104"/>
      <c r="N24" s="104"/>
      <c r="O24" s="104"/>
      <c r="P24" s="104"/>
    </row>
    <row r="25" spans="1:17" ht="36" customHeight="1" x14ac:dyDescent="0.3">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75" x14ac:dyDescent="0.3">
      <c r="A27" s="8"/>
      <c r="B27" s="8"/>
      <c r="C27" s="51"/>
      <c r="D27" s="33"/>
      <c r="E27" s="8"/>
      <c r="F27" s="8"/>
      <c r="G27" s="8"/>
      <c r="H27" s="2"/>
      <c r="I27" s="2"/>
      <c r="J27" s="2"/>
      <c r="K27" s="2"/>
      <c r="L27" s="2"/>
      <c r="M27" s="2"/>
    </row>
    <row r="28" spans="1:17" ht="18.75" x14ac:dyDescent="0.3">
      <c r="A28" s="8"/>
      <c r="B28" s="8"/>
      <c r="C28" s="51"/>
      <c r="D28" s="33"/>
      <c r="E28" s="8"/>
      <c r="F28" s="8"/>
      <c r="G28" s="8"/>
      <c r="H28" s="2"/>
      <c r="I28" s="2"/>
      <c r="J28" s="2"/>
      <c r="K28" s="2"/>
      <c r="L28" s="2"/>
      <c r="M28" s="2"/>
    </row>
    <row r="29" spans="1:17" ht="18.75" x14ac:dyDescent="0.3">
      <c r="A29" s="8"/>
      <c r="B29" s="8"/>
      <c r="C29" s="51"/>
      <c r="D29" s="33"/>
      <c r="E29" s="8"/>
      <c r="F29" s="8"/>
      <c r="G29" s="8"/>
      <c r="H29" s="2"/>
      <c r="I29" s="2"/>
      <c r="J29" s="2"/>
      <c r="K29" s="2"/>
      <c r="L29" s="2"/>
      <c r="M29" s="2"/>
    </row>
    <row r="30" spans="1:17" ht="18.75" x14ac:dyDescent="0.3">
      <c r="A30" s="8"/>
      <c r="B30" s="8"/>
      <c r="C30" s="51"/>
      <c r="D30" s="33"/>
      <c r="E30" s="8"/>
      <c r="F30" s="8"/>
      <c r="G30" s="8"/>
      <c r="H30" s="2"/>
      <c r="I30" s="2"/>
      <c r="J30" s="2"/>
      <c r="K30" s="2"/>
      <c r="L30" s="2"/>
      <c r="M30" s="2"/>
    </row>
    <row r="31" spans="1:17" ht="18.75" x14ac:dyDescent="0.3">
      <c r="A31" s="8"/>
      <c r="B31" s="8"/>
      <c r="C31" s="51"/>
      <c r="D31" s="33"/>
      <c r="E31" s="8"/>
      <c r="F31" s="8"/>
      <c r="G31" s="8"/>
      <c r="H31" s="2"/>
      <c r="I31" s="2"/>
      <c r="J31" s="2"/>
      <c r="K31" s="2"/>
      <c r="L31" s="2"/>
      <c r="M31" s="2"/>
    </row>
    <row r="32" spans="1:17" ht="18.75" x14ac:dyDescent="0.3">
      <c r="A32" s="8"/>
      <c r="B32" s="8"/>
      <c r="C32" s="51"/>
      <c r="D32" s="33"/>
      <c r="E32" s="8"/>
      <c r="F32" s="8"/>
      <c r="G32" s="8"/>
      <c r="H32" s="2"/>
      <c r="I32" s="2"/>
      <c r="J32" s="2"/>
      <c r="K32" s="2"/>
      <c r="L32" s="2"/>
      <c r="M32" s="2"/>
    </row>
    <row r="33" spans="1:13" ht="18.75" x14ac:dyDescent="0.3">
      <c r="A33" s="8"/>
      <c r="B33" s="8"/>
      <c r="C33" s="51"/>
      <c r="D33" s="33"/>
      <c r="E33" s="8"/>
      <c r="F33" s="8"/>
      <c r="G33" s="8"/>
      <c r="H33" s="2"/>
      <c r="I33" s="2"/>
      <c r="J33" s="2"/>
      <c r="K33" s="2"/>
      <c r="L33" s="2"/>
      <c r="M33" s="2"/>
    </row>
    <row r="34" spans="1:13" ht="18.75" x14ac:dyDescent="0.3">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A3" workbookViewId="0">
      <selection activeCell="D6" sqref="D6:D17"/>
    </sheetView>
  </sheetViews>
  <sheetFormatPr defaultRowHeight="15" x14ac:dyDescent="0.2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7.75" x14ac:dyDescent="0.4">
      <c r="C3" s="1"/>
      <c r="D3" s="18" t="s">
        <v>8</v>
      </c>
      <c r="E3" s="18"/>
      <c r="F3" s="18" t="s">
        <v>18</v>
      </c>
      <c r="G3" s="1"/>
      <c r="H3" s="1"/>
      <c r="I3" s="1"/>
      <c r="J3" s="1"/>
      <c r="K3" s="1"/>
      <c r="L3" s="1"/>
      <c r="M3" s="1"/>
      <c r="N3" s="1"/>
      <c r="O3" s="1"/>
      <c r="P3" s="1"/>
      <c r="Q3" s="1"/>
    </row>
    <row r="4" spans="1:17" ht="18.75" x14ac:dyDescent="0.3">
      <c r="C4" s="10"/>
      <c r="D4" s="89">
        <f>SUM(D6:D2001)</f>
        <v>0</v>
      </c>
      <c r="E4" s="11"/>
      <c r="F4" s="11">
        <f>SUM(F6:F2001)</f>
        <v>1800</v>
      </c>
    </row>
    <row r="5" spans="1:17" ht="56.25" x14ac:dyDescent="0.25">
      <c r="A5" s="4" t="s">
        <v>7</v>
      </c>
      <c r="B5" s="4" t="s">
        <v>17</v>
      </c>
      <c r="C5" s="6" t="s">
        <v>1</v>
      </c>
      <c r="D5" s="4" t="s">
        <v>2</v>
      </c>
      <c r="E5" s="4" t="s">
        <v>4</v>
      </c>
      <c r="F5" s="4" t="s">
        <v>19</v>
      </c>
      <c r="G5" s="4" t="s">
        <v>4</v>
      </c>
      <c r="H5" s="5"/>
      <c r="I5" s="5"/>
      <c r="J5" s="5"/>
      <c r="K5" s="5"/>
      <c r="L5" s="5"/>
      <c r="M5" s="5"/>
    </row>
    <row r="6" spans="1:17" ht="18.75" x14ac:dyDescent="0.3">
      <c r="A6" s="8">
        <v>1</v>
      </c>
      <c r="B6" s="8">
        <v>1</v>
      </c>
      <c r="C6" s="9">
        <v>46372</v>
      </c>
      <c r="D6" s="90"/>
      <c r="E6" s="8"/>
      <c r="F6" s="8">
        <v>150</v>
      </c>
      <c r="G6" s="8" t="s">
        <v>239</v>
      </c>
      <c r="H6" s="2"/>
      <c r="I6" s="2"/>
      <c r="J6" s="2"/>
      <c r="K6" s="2"/>
      <c r="L6" s="2"/>
      <c r="M6" s="2"/>
    </row>
    <row r="7" spans="1:17" ht="18.75" x14ac:dyDescent="0.3">
      <c r="A7" s="8">
        <v>2</v>
      </c>
      <c r="B7" s="8">
        <v>2</v>
      </c>
      <c r="C7" s="9">
        <v>46372</v>
      </c>
      <c r="D7" s="90"/>
      <c r="E7" s="8"/>
      <c r="F7" s="8">
        <v>150</v>
      </c>
      <c r="G7" s="8" t="s">
        <v>240</v>
      </c>
      <c r="H7" s="2"/>
      <c r="I7" s="2"/>
      <c r="J7" s="2"/>
      <c r="K7" s="2"/>
      <c r="L7" s="2"/>
      <c r="M7" s="2"/>
    </row>
    <row r="8" spans="1:17" ht="18.75" x14ac:dyDescent="0.3">
      <c r="A8" s="8">
        <v>3</v>
      </c>
      <c r="B8" s="8">
        <v>3</v>
      </c>
      <c r="C8" s="9">
        <v>46372</v>
      </c>
      <c r="D8" s="90"/>
      <c r="E8" s="8"/>
      <c r="F8" s="8">
        <v>150</v>
      </c>
      <c r="G8" s="8" t="s">
        <v>100</v>
      </c>
      <c r="H8" s="2"/>
      <c r="I8" s="2"/>
      <c r="J8" s="2"/>
      <c r="K8" s="2"/>
      <c r="L8" s="2"/>
      <c r="M8" s="2"/>
    </row>
    <row r="9" spans="1:17" ht="18.75" x14ac:dyDescent="0.3">
      <c r="A9" s="8">
        <v>4</v>
      </c>
      <c r="B9" s="8">
        <v>4</v>
      </c>
      <c r="C9" s="9">
        <v>46372</v>
      </c>
      <c r="D9" s="90"/>
      <c r="E9" s="8"/>
      <c r="F9" s="8">
        <v>150</v>
      </c>
      <c r="G9" s="8" t="s">
        <v>101</v>
      </c>
      <c r="H9" s="2"/>
      <c r="I9" s="2"/>
      <c r="J9" s="2"/>
      <c r="K9" s="2"/>
      <c r="L9" s="2"/>
      <c r="M9" s="2"/>
    </row>
    <row r="10" spans="1:17" ht="18.75" x14ac:dyDescent="0.3">
      <c r="A10" s="8">
        <v>5</v>
      </c>
      <c r="B10" s="8">
        <v>5</v>
      </c>
      <c r="C10" s="9">
        <v>46372</v>
      </c>
      <c r="D10" s="90"/>
      <c r="E10" s="8"/>
      <c r="F10" s="8">
        <v>150</v>
      </c>
      <c r="G10" s="8" t="s">
        <v>102</v>
      </c>
      <c r="H10" s="2"/>
      <c r="I10" s="2"/>
      <c r="J10" s="2"/>
      <c r="K10" s="2"/>
      <c r="L10" s="2"/>
      <c r="M10" s="2"/>
    </row>
    <row r="11" spans="1:17" ht="18.75" x14ac:dyDescent="0.3">
      <c r="A11" s="8">
        <v>6</v>
      </c>
      <c r="B11" s="8">
        <v>6</v>
      </c>
      <c r="C11" s="9">
        <v>46372</v>
      </c>
      <c r="D11" s="90"/>
      <c r="E11" s="8"/>
      <c r="F11" s="8">
        <v>150</v>
      </c>
      <c r="G11" s="8" t="s">
        <v>103</v>
      </c>
      <c r="H11" s="2"/>
      <c r="I11" s="2"/>
      <c r="J11" s="2"/>
      <c r="K11" s="2"/>
      <c r="L11" s="2"/>
      <c r="M11" s="2"/>
    </row>
    <row r="12" spans="1:17" ht="18.75" x14ac:dyDescent="0.3">
      <c r="A12" s="8">
        <v>7</v>
      </c>
      <c r="B12" s="8">
        <v>7</v>
      </c>
      <c r="C12" s="9">
        <v>46372</v>
      </c>
      <c r="D12" s="90"/>
      <c r="E12" s="8"/>
      <c r="F12" s="8">
        <v>150</v>
      </c>
      <c r="G12" s="8" t="s">
        <v>104</v>
      </c>
      <c r="H12" s="2"/>
      <c r="I12" s="2"/>
      <c r="J12" s="2"/>
      <c r="K12" s="2"/>
      <c r="L12" s="2"/>
      <c r="M12" s="2"/>
    </row>
    <row r="13" spans="1:17" ht="18.75" x14ac:dyDescent="0.3">
      <c r="A13" s="8">
        <v>8</v>
      </c>
      <c r="B13" s="8">
        <v>8</v>
      </c>
      <c r="C13" s="9">
        <v>46372</v>
      </c>
      <c r="D13" s="90"/>
      <c r="E13" s="8"/>
      <c r="F13" s="8">
        <v>150</v>
      </c>
      <c r="G13" s="8" t="s">
        <v>105</v>
      </c>
      <c r="H13" s="2"/>
      <c r="I13" s="2"/>
      <c r="J13" s="2"/>
      <c r="K13" s="2"/>
      <c r="L13" s="2"/>
      <c r="M13" s="2"/>
    </row>
    <row r="14" spans="1:17" ht="18.75" x14ac:dyDescent="0.3">
      <c r="A14" s="8">
        <v>9</v>
      </c>
      <c r="B14" s="8">
        <v>9</v>
      </c>
      <c r="C14" s="9">
        <v>46372</v>
      </c>
      <c r="D14" s="90"/>
      <c r="E14" s="8"/>
      <c r="F14" s="8">
        <v>150</v>
      </c>
      <c r="G14" s="8" t="s">
        <v>106</v>
      </c>
      <c r="H14" s="2"/>
      <c r="I14" s="2"/>
      <c r="J14" s="2"/>
      <c r="K14" s="2"/>
      <c r="L14" s="2"/>
      <c r="M14" s="2"/>
    </row>
    <row r="15" spans="1:17" ht="18.75" x14ac:dyDescent="0.3">
      <c r="A15" s="8">
        <v>10</v>
      </c>
      <c r="B15" s="8">
        <v>10</v>
      </c>
      <c r="C15" s="9">
        <v>46372</v>
      </c>
      <c r="D15" s="90"/>
      <c r="E15" s="8"/>
      <c r="F15" s="8">
        <v>150</v>
      </c>
      <c r="G15" s="8" t="s">
        <v>107</v>
      </c>
      <c r="H15" s="2"/>
      <c r="I15" s="2"/>
      <c r="J15" s="2"/>
      <c r="K15" s="2"/>
      <c r="L15" s="2"/>
      <c r="M15" s="2"/>
    </row>
    <row r="16" spans="1:17" ht="18.75" x14ac:dyDescent="0.3">
      <c r="A16" s="8">
        <v>11</v>
      </c>
      <c r="B16" s="8">
        <v>11</v>
      </c>
      <c r="C16" s="9">
        <v>46372</v>
      </c>
      <c r="D16" s="90"/>
      <c r="E16" s="8"/>
      <c r="F16" s="8">
        <v>150</v>
      </c>
      <c r="G16" s="8" t="s">
        <v>108</v>
      </c>
      <c r="H16" s="2"/>
      <c r="I16" s="2"/>
      <c r="J16" s="2"/>
      <c r="K16" s="2"/>
      <c r="L16" s="2"/>
      <c r="M16" s="2"/>
    </row>
    <row r="17" spans="1:13" ht="18.75" x14ac:dyDescent="0.3">
      <c r="A17" s="8">
        <v>12</v>
      </c>
      <c r="B17" s="8">
        <v>12</v>
      </c>
      <c r="C17" s="9">
        <v>46372</v>
      </c>
      <c r="D17" s="90"/>
      <c r="E17" s="8"/>
      <c r="F17" s="8">
        <v>150</v>
      </c>
      <c r="G17" s="8" t="s">
        <v>109</v>
      </c>
      <c r="H17" s="2"/>
      <c r="I17" s="2"/>
      <c r="J17" s="2"/>
      <c r="K17" s="2"/>
      <c r="L17" s="2"/>
      <c r="M17" s="2"/>
    </row>
    <row r="18" spans="1:13" ht="18.75" x14ac:dyDescent="0.3">
      <c r="A18" s="8"/>
      <c r="B18" s="8"/>
      <c r="C18" s="9"/>
      <c r="D18" s="8"/>
      <c r="E18" s="8"/>
      <c r="F18" s="8"/>
      <c r="G18" s="8"/>
      <c r="H18" s="2"/>
      <c r="I18" s="2"/>
      <c r="J18" s="2"/>
      <c r="K18" s="2"/>
      <c r="L18" s="2"/>
      <c r="M18" s="2"/>
    </row>
    <row r="19" spans="1:13" ht="18.75" x14ac:dyDescent="0.3">
      <c r="A19" s="8"/>
      <c r="B19" s="8"/>
      <c r="C19" s="9"/>
      <c r="D19" s="8"/>
      <c r="E19" s="8"/>
      <c r="F19" s="8"/>
      <c r="G19" s="8"/>
      <c r="H19" s="2"/>
      <c r="I19" s="2"/>
      <c r="J19" s="2"/>
      <c r="K19" s="2"/>
      <c r="L19" s="2"/>
      <c r="M19" s="2"/>
    </row>
    <row r="20" spans="1:13" ht="18.75" x14ac:dyDescent="0.3">
      <c r="A20" s="8"/>
      <c r="B20" s="8"/>
      <c r="C20" s="9"/>
      <c r="D20" s="8"/>
      <c r="E20" s="8"/>
      <c r="F20" s="8"/>
      <c r="G20" s="8"/>
      <c r="H20" s="2"/>
      <c r="I20" s="2"/>
      <c r="J20" s="2"/>
      <c r="K20" s="2"/>
      <c r="L20" s="2"/>
      <c r="M20" s="2"/>
    </row>
    <row r="21" spans="1:13" ht="18.75" x14ac:dyDescent="0.3">
      <c r="A21" s="8"/>
      <c r="B21" s="8"/>
      <c r="C21" s="9"/>
      <c r="D21" s="8"/>
      <c r="E21" s="8"/>
      <c r="F21" s="8"/>
      <c r="G21" s="8"/>
      <c r="H21" s="2"/>
      <c r="I21" s="2"/>
      <c r="J21" s="2"/>
      <c r="K21" s="2"/>
      <c r="L21" s="2"/>
      <c r="M21" s="2"/>
    </row>
    <row r="22" spans="1:13" ht="18.75" x14ac:dyDescent="0.3">
      <c r="A22" s="8"/>
      <c r="B22" s="8"/>
      <c r="C22" s="9"/>
      <c r="D22" s="8"/>
      <c r="E22" s="8"/>
      <c r="F22" s="8"/>
      <c r="G22" s="8"/>
      <c r="H22" s="2"/>
      <c r="I22" s="2"/>
      <c r="J22" s="2"/>
      <c r="K22" s="2"/>
      <c r="L22" s="2"/>
      <c r="M22" s="2"/>
    </row>
    <row r="23" spans="1:13" ht="18.75" x14ac:dyDescent="0.3">
      <c r="A23" s="8"/>
      <c r="B23" s="8"/>
      <c r="C23" s="9"/>
      <c r="D23" s="8"/>
      <c r="E23" s="8"/>
      <c r="F23" s="8"/>
      <c r="G23" s="8"/>
      <c r="H23" s="2"/>
      <c r="I23" s="2"/>
      <c r="J23" s="2"/>
      <c r="K23" s="2"/>
      <c r="L23" s="2"/>
      <c r="M23" s="2"/>
    </row>
    <row r="24" spans="1:13" ht="18.75" x14ac:dyDescent="0.3">
      <c r="A24" s="8"/>
      <c r="B24" s="8"/>
      <c r="C24" s="9"/>
      <c r="D24" s="8"/>
      <c r="E24" s="8"/>
      <c r="F24" s="8"/>
      <c r="G24" s="8"/>
      <c r="H24" s="2"/>
      <c r="I24" s="2"/>
      <c r="J24" s="2"/>
      <c r="K24" s="2"/>
      <c r="L24" s="2"/>
      <c r="M24" s="2"/>
    </row>
    <row r="25" spans="1:13" ht="18.75" x14ac:dyDescent="0.3">
      <c r="A25" s="8"/>
      <c r="B25" s="8"/>
      <c r="C25" s="9"/>
      <c r="D25" s="8"/>
      <c r="E25" s="8"/>
      <c r="F25" s="8"/>
      <c r="G25" s="8"/>
      <c r="H25" s="2"/>
      <c r="I25" s="2"/>
      <c r="J25" s="2"/>
      <c r="K25" s="2"/>
      <c r="L25" s="2"/>
      <c r="M25" s="2"/>
    </row>
    <row r="26" spans="1:13" ht="18.75" x14ac:dyDescent="0.3">
      <c r="A26" s="8"/>
      <c r="B26" s="8"/>
      <c r="C26" s="9"/>
      <c r="D26" s="8"/>
      <c r="E26" s="8"/>
      <c r="F26" s="8"/>
      <c r="G26" s="8"/>
      <c r="H26" s="2"/>
      <c r="I26" s="2"/>
      <c r="J26" s="2"/>
      <c r="K26" s="2"/>
      <c r="L26" s="2"/>
      <c r="M26" s="2"/>
    </row>
    <row r="27" spans="1:13" ht="18.75" x14ac:dyDescent="0.3">
      <c r="A27" s="8"/>
      <c r="B27" s="8"/>
      <c r="C27" s="9"/>
      <c r="D27" s="8"/>
      <c r="E27" s="8"/>
      <c r="F27" s="8"/>
      <c r="G27" s="8"/>
      <c r="H27" s="2"/>
      <c r="I27" s="2"/>
      <c r="J27" s="2"/>
      <c r="K27" s="2"/>
      <c r="L27" s="2"/>
      <c r="M27" s="2"/>
    </row>
    <row r="28" spans="1:13" ht="18.75" x14ac:dyDescent="0.3">
      <c r="A28" s="8"/>
      <c r="B28" s="8"/>
      <c r="C28" s="9"/>
      <c r="D28" s="8"/>
      <c r="E28" s="8"/>
      <c r="F28" s="8"/>
      <c r="G28" s="8"/>
      <c r="H28" s="2"/>
      <c r="I28" s="2"/>
      <c r="J28" s="2"/>
      <c r="K28" s="2"/>
      <c r="L28" s="2"/>
      <c r="M28" s="2"/>
    </row>
    <row r="29" spans="1:13" ht="18.75" x14ac:dyDescent="0.3">
      <c r="A29" s="8"/>
      <c r="B29" s="8"/>
      <c r="C29" s="9"/>
      <c r="D29" s="8"/>
      <c r="E29" s="8"/>
      <c r="F29" s="8"/>
      <c r="G29" s="8"/>
      <c r="H29" s="2"/>
      <c r="I29" s="2"/>
      <c r="J29" s="2"/>
      <c r="K29" s="2"/>
      <c r="L29" s="2"/>
      <c r="M29" s="2"/>
    </row>
    <row r="30" spans="1:13" ht="18.75" x14ac:dyDescent="0.3">
      <c r="A30" s="8"/>
      <c r="B30" s="8"/>
      <c r="C30" s="9"/>
      <c r="D30" s="8"/>
      <c r="E30" s="8"/>
      <c r="F30" s="8"/>
      <c r="G30" s="8"/>
      <c r="H30" s="2"/>
      <c r="I30" s="2"/>
      <c r="J30" s="2"/>
      <c r="K30" s="2"/>
      <c r="L30" s="2"/>
      <c r="M30" s="2"/>
    </row>
    <row r="31" spans="1:13" ht="18.75" x14ac:dyDescent="0.3">
      <c r="A31" s="8"/>
      <c r="B31" s="8"/>
      <c r="C31" s="9"/>
      <c r="D31" s="8"/>
      <c r="E31" s="8"/>
      <c r="F31" s="8"/>
      <c r="G31" s="8"/>
      <c r="H31" s="2"/>
      <c r="I31" s="2"/>
      <c r="J31" s="2"/>
      <c r="K31" s="2"/>
      <c r="L31" s="2"/>
      <c r="M31" s="2"/>
    </row>
    <row r="32" spans="1:13" ht="18.75" x14ac:dyDescent="0.3">
      <c r="A32" s="8"/>
      <c r="B32" s="8"/>
      <c r="C32" s="9"/>
      <c r="D32" s="8"/>
      <c r="E32" s="8"/>
      <c r="F32" s="8"/>
      <c r="G32" s="8"/>
      <c r="H32" s="2"/>
      <c r="I32" s="2"/>
      <c r="J32" s="2"/>
      <c r="K32" s="2"/>
      <c r="L32" s="2"/>
      <c r="M32" s="2"/>
    </row>
    <row r="33" spans="1:13" ht="18.75" x14ac:dyDescent="0.3">
      <c r="A33" s="8"/>
      <c r="B33" s="8"/>
      <c r="C33" s="9"/>
      <c r="D33" s="8"/>
      <c r="E33" s="8"/>
      <c r="F33" s="8"/>
      <c r="G33" s="8"/>
      <c r="H33" s="2"/>
      <c r="I33" s="2"/>
      <c r="J33" s="2"/>
      <c r="K33" s="2"/>
      <c r="L33" s="2"/>
      <c r="M33" s="2"/>
    </row>
    <row r="34" spans="1:13" ht="18.75" x14ac:dyDescent="0.3">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5" x14ac:dyDescent="0.25"/>
  <cols>
    <col min="1" max="1" width="4.42578125" style="3" customWidth="1"/>
    <col min="2" max="2" width="4.140625" style="3" bestFit="1" customWidth="1"/>
    <col min="3" max="3" width="14.85546875" style="64" bestFit="1" customWidth="1"/>
    <col min="4" max="4" width="8.28515625" style="66" bestFit="1" customWidth="1"/>
    <col min="5" max="5" width="24.7109375" style="3" bestFit="1" customWidth="1"/>
    <col min="6" max="6" width="9.71093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7.75" x14ac:dyDescent="0.4">
      <c r="C3" s="1"/>
      <c r="D3" s="18" t="s">
        <v>8</v>
      </c>
      <c r="E3" s="18"/>
      <c r="F3" s="18" t="s">
        <v>18</v>
      </c>
      <c r="G3" s="1"/>
      <c r="H3" s="1"/>
      <c r="I3" s="1"/>
      <c r="J3" s="1"/>
      <c r="K3" s="1"/>
      <c r="L3" s="1"/>
      <c r="M3" s="1"/>
      <c r="N3" s="1"/>
      <c r="O3" s="1"/>
      <c r="P3" s="1"/>
      <c r="Q3" s="1"/>
    </row>
    <row r="4" spans="1:17" ht="18.75" x14ac:dyDescent="0.3">
      <c r="C4" s="62"/>
      <c r="D4" s="83">
        <f>SUM(D6:D2001)</f>
        <v>1800</v>
      </c>
      <c r="E4" s="11"/>
      <c r="F4" s="11">
        <f>SUM(F6:F2001)</f>
        <v>1800</v>
      </c>
    </row>
    <row r="5" spans="1:17" ht="56.25" x14ac:dyDescent="0.3">
      <c r="A5" s="4" t="s">
        <v>7</v>
      </c>
      <c r="B5" s="4" t="s">
        <v>17</v>
      </c>
      <c r="C5" s="65" t="s">
        <v>1</v>
      </c>
      <c r="D5" s="4" t="s">
        <v>2</v>
      </c>
      <c r="E5" s="4" t="s">
        <v>4</v>
      </c>
      <c r="F5" s="4" t="s">
        <v>19</v>
      </c>
      <c r="G5" s="4" t="s">
        <v>4</v>
      </c>
      <c r="H5" s="5"/>
      <c r="I5" s="5"/>
      <c r="J5" s="5"/>
      <c r="K5" s="5"/>
      <c r="L5" s="5"/>
      <c r="M5" s="5"/>
    </row>
    <row r="6" spans="1:17" ht="18.75" x14ac:dyDescent="0.3">
      <c r="A6" s="8">
        <v>1</v>
      </c>
      <c r="B6" s="8">
        <v>1</v>
      </c>
      <c r="C6" s="63">
        <v>45318</v>
      </c>
      <c r="D6" s="33">
        <v>150</v>
      </c>
      <c r="E6" s="8"/>
      <c r="F6" s="8">
        <v>150</v>
      </c>
      <c r="G6" s="8" t="s">
        <v>219</v>
      </c>
      <c r="H6" s="2"/>
      <c r="I6" s="2"/>
      <c r="J6" s="2"/>
      <c r="K6" s="2"/>
      <c r="L6" s="2"/>
      <c r="M6" s="2"/>
    </row>
    <row r="7" spans="1:17" ht="18.75" x14ac:dyDescent="0.3">
      <c r="A7" s="8">
        <v>2</v>
      </c>
      <c r="B7" s="8">
        <v>2</v>
      </c>
      <c r="C7" s="63">
        <v>45318</v>
      </c>
      <c r="D7" s="33">
        <v>150</v>
      </c>
      <c r="E7" s="8"/>
      <c r="F7" s="8">
        <v>150</v>
      </c>
      <c r="G7" s="8" t="s">
        <v>99</v>
      </c>
      <c r="H7" s="2"/>
      <c r="I7" s="2"/>
      <c r="J7" s="2"/>
      <c r="K7" s="2"/>
      <c r="L7" s="2"/>
      <c r="M7" s="2"/>
    </row>
    <row r="8" spans="1:17" ht="18.75" x14ac:dyDescent="0.3">
      <c r="A8" s="8">
        <v>3</v>
      </c>
      <c r="B8" s="8">
        <v>3</v>
      </c>
      <c r="C8" s="63">
        <v>45318</v>
      </c>
      <c r="D8" s="33">
        <v>150</v>
      </c>
      <c r="E8" s="8"/>
      <c r="F8" s="8">
        <v>150</v>
      </c>
      <c r="G8" s="8" t="s">
        <v>100</v>
      </c>
      <c r="H8" s="2"/>
      <c r="I8" s="2"/>
      <c r="J8" s="2"/>
      <c r="K8" s="2"/>
      <c r="L8" s="2"/>
      <c r="M8" s="2"/>
    </row>
    <row r="9" spans="1:17" ht="18.75" x14ac:dyDescent="0.3">
      <c r="A9" s="8">
        <v>4</v>
      </c>
      <c r="B9" s="8">
        <v>4</v>
      </c>
      <c r="C9" s="63">
        <v>45318</v>
      </c>
      <c r="D9" s="33">
        <v>150</v>
      </c>
      <c r="E9" s="8"/>
      <c r="F9" s="8">
        <v>150</v>
      </c>
      <c r="G9" s="8" t="s">
        <v>101</v>
      </c>
      <c r="H9" s="2"/>
      <c r="I9" s="2"/>
      <c r="J9" s="2"/>
      <c r="K9" s="2"/>
      <c r="L9" s="2"/>
      <c r="M9" s="2"/>
    </row>
    <row r="10" spans="1:17" ht="18.75" x14ac:dyDescent="0.3">
      <c r="A10" s="8">
        <v>5</v>
      </c>
      <c r="B10" s="8">
        <v>5</v>
      </c>
      <c r="C10" s="63">
        <v>45318</v>
      </c>
      <c r="D10" s="33">
        <v>150</v>
      </c>
      <c r="E10" s="8"/>
      <c r="F10" s="8">
        <v>150</v>
      </c>
      <c r="G10" s="8" t="s">
        <v>102</v>
      </c>
      <c r="H10" s="2"/>
      <c r="I10" s="2"/>
      <c r="J10" s="2"/>
      <c r="K10" s="2"/>
      <c r="L10" s="2"/>
      <c r="M10" s="2"/>
    </row>
    <row r="11" spans="1:17" ht="18.75" x14ac:dyDescent="0.3">
      <c r="A11" s="8">
        <v>6</v>
      </c>
      <c r="B11" s="8">
        <v>6</v>
      </c>
      <c r="C11" s="63">
        <v>45318</v>
      </c>
      <c r="D11" s="33">
        <v>150</v>
      </c>
      <c r="E11" s="8"/>
      <c r="F11" s="8">
        <v>150</v>
      </c>
      <c r="G11" s="8" t="s">
        <v>103</v>
      </c>
      <c r="H11" s="2"/>
      <c r="I11" s="2"/>
      <c r="J11" s="2"/>
      <c r="K11" s="2"/>
      <c r="L11" s="2"/>
      <c r="M11" s="2"/>
    </row>
    <row r="12" spans="1:17" ht="18.75" x14ac:dyDescent="0.3">
      <c r="A12" s="8">
        <v>7</v>
      </c>
      <c r="B12" s="8">
        <v>7</v>
      </c>
      <c r="C12" s="51">
        <v>45569</v>
      </c>
      <c r="D12" s="33">
        <v>150</v>
      </c>
      <c r="E12" s="8"/>
      <c r="F12" s="8">
        <v>150</v>
      </c>
      <c r="G12" s="8" t="s">
        <v>104</v>
      </c>
      <c r="H12" s="2"/>
      <c r="I12" s="2"/>
      <c r="J12" s="2"/>
      <c r="K12" s="2"/>
      <c r="L12" s="2"/>
      <c r="M12" s="2"/>
    </row>
    <row r="13" spans="1:17" ht="18.75" x14ac:dyDescent="0.3">
      <c r="A13" s="8">
        <v>8</v>
      </c>
      <c r="B13" s="8">
        <v>8</v>
      </c>
      <c r="C13" s="51">
        <v>45569</v>
      </c>
      <c r="D13" s="33">
        <v>150</v>
      </c>
      <c r="E13" s="8"/>
      <c r="F13" s="8">
        <v>150</v>
      </c>
      <c r="G13" s="8" t="s">
        <v>105</v>
      </c>
      <c r="H13" s="2"/>
      <c r="I13" s="2"/>
      <c r="J13" s="2"/>
      <c r="K13" s="2"/>
      <c r="L13" s="2"/>
      <c r="M13" s="2"/>
    </row>
    <row r="14" spans="1:17" ht="18.75" x14ac:dyDescent="0.3">
      <c r="A14" s="8">
        <v>9</v>
      </c>
      <c r="B14" s="8">
        <v>9</v>
      </c>
      <c r="C14" s="51">
        <v>45569</v>
      </c>
      <c r="D14" s="33">
        <v>150</v>
      </c>
      <c r="E14" s="8"/>
      <c r="F14" s="8">
        <v>150</v>
      </c>
      <c r="G14" s="8" t="s">
        <v>106</v>
      </c>
      <c r="H14" s="2"/>
      <c r="I14" s="2"/>
      <c r="J14" s="2"/>
      <c r="K14" s="2"/>
      <c r="L14" s="2"/>
      <c r="M14" s="2"/>
    </row>
    <row r="15" spans="1:17" ht="18.75" x14ac:dyDescent="0.3">
      <c r="A15" s="8">
        <v>10</v>
      </c>
      <c r="B15" s="8">
        <v>10</v>
      </c>
      <c r="C15" s="51">
        <v>45569</v>
      </c>
      <c r="D15" s="33">
        <v>150</v>
      </c>
      <c r="E15" s="8"/>
      <c r="F15" s="8">
        <v>150</v>
      </c>
      <c r="G15" s="8" t="s">
        <v>107</v>
      </c>
      <c r="H15" s="2"/>
      <c r="I15" s="2"/>
      <c r="J15" s="2"/>
      <c r="K15" s="2"/>
      <c r="L15" s="2"/>
      <c r="M15" s="2"/>
    </row>
    <row r="16" spans="1:17" ht="18.75" x14ac:dyDescent="0.3">
      <c r="A16" s="8">
        <v>11</v>
      </c>
      <c r="B16" s="8">
        <v>11</v>
      </c>
      <c r="C16" s="51">
        <v>45569</v>
      </c>
      <c r="D16" s="33">
        <v>150</v>
      </c>
      <c r="E16" s="8"/>
      <c r="F16" s="8">
        <v>150</v>
      </c>
      <c r="G16" s="8" t="s">
        <v>108</v>
      </c>
      <c r="H16" s="2"/>
      <c r="I16" s="2"/>
      <c r="J16" s="2"/>
      <c r="K16" s="2"/>
      <c r="L16" s="2"/>
      <c r="M16" s="2"/>
    </row>
    <row r="17" spans="1:13" ht="18.75" x14ac:dyDescent="0.3">
      <c r="A17" s="8">
        <v>12</v>
      </c>
      <c r="B17" s="8">
        <v>12</v>
      </c>
      <c r="C17" s="51">
        <v>45569</v>
      </c>
      <c r="D17" s="33">
        <v>150</v>
      </c>
      <c r="E17" s="8"/>
      <c r="F17" s="8">
        <v>150</v>
      </c>
      <c r="G17" s="8" t="s">
        <v>109</v>
      </c>
      <c r="H17" s="2"/>
      <c r="I17" s="2"/>
      <c r="J17" s="2"/>
      <c r="L17" s="2"/>
      <c r="M17" s="2"/>
    </row>
    <row r="18" spans="1:13" ht="18.75" x14ac:dyDescent="0.3">
      <c r="A18" s="8"/>
      <c r="B18" s="8"/>
      <c r="C18" s="63"/>
      <c r="D18" s="33"/>
      <c r="E18" s="8"/>
      <c r="F18" s="8"/>
      <c r="G18" s="8"/>
      <c r="H18" s="2"/>
      <c r="I18" s="2"/>
      <c r="J18" s="2"/>
      <c r="K18" s="2"/>
      <c r="L18" s="2"/>
      <c r="M18" s="2"/>
    </row>
    <row r="19" spans="1:13" ht="18.75" x14ac:dyDescent="0.3">
      <c r="A19" s="8"/>
      <c r="B19" s="8"/>
      <c r="C19" s="63"/>
      <c r="D19" s="33"/>
      <c r="E19" s="8"/>
      <c r="F19" s="8"/>
      <c r="G19" s="8"/>
      <c r="H19" s="2"/>
      <c r="I19" s="2"/>
      <c r="J19" s="2"/>
      <c r="K19" s="2"/>
      <c r="L19" s="2"/>
      <c r="M19" s="2"/>
    </row>
    <row r="20" spans="1:13" ht="18.75" x14ac:dyDescent="0.3">
      <c r="A20" s="8"/>
      <c r="B20" s="8"/>
      <c r="C20" s="63"/>
      <c r="D20" s="33"/>
      <c r="E20" s="8"/>
      <c r="F20" s="8"/>
      <c r="G20" s="8"/>
      <c r="H20" s="2"/>
      <c r="I20" s="2"/>
      <c r="J20" s="2"/>
      <c r="K20" s="2"/>
      <c r="L20" s="2"/>
      <c r="M20" s="2"/>
    </row>
    <row r="21" spans="1:13" ht="18.75" x14ac:dyDescent="0.3">
      <c r="A21" s="8"/>
      <c r="B21" s="8"/>
      <c r="C21" s="63"/>
      <c r="D21" s="33"/>
      <c r="E21" s="8"/>
      <c r="F21" s="8"/>
      <c r="G21" s="8"/>
      <c r="H21" s="2"/>
      <c r="I21" s="2"/>
      <c r="J21" s="2"/>
      <c r="K21" s="2"/>
      <c r="L21" s="2"/>
      <c r="M21" s="2"/>
    </row>
    <row r="22" spans="1:13" ht="18.75" x14ac:dyDescent="0.3">
      <c r="A22" s="8"/>
      <c r="B22" s="8"/>
      <c r="C22" s="63"/>
      <c r="D22" s="33"/>
      <c r="E22" s="8"/>
      <c r="F22" s="8"/>
      <c r="G22" s="8"/>
      <c r="H22" s="2"/>
      <c r="I22" s="2"/>
      <c r="J22" s="2"/>
      <c r="K22" s="2"/>
      <c r="L22" s="2"/>
      <c r="M22" s="2"/>
    </row>
    <row r="23" spans="1:13" ht="18.75" x14ac:dyDescent="0.3">
      <c r="A23" s="8"/>
      <c r="B23" s="8"/>
      <c r="C23" s="63"/>
      <c r="D23" s="33"/>
      <c r="E23" s="8"/>
      <c r="F23" s="8"/>
      <c r="G23" s="8"/>
      <c r="H23" s="2"/>
      <c r="I23" s="2"/>
      <c r="J23" s="2"/>
      <c r="K23" s="2"/>
      <c r="L23" s="2"/>
      <c r="M23" s="2"/>
    </row>
    <row r="24" spans="1:13" ht="18.75" x14ac:dyDescent="0.3">
      <c r="A24" s="8"/>
      <c r="B24" s="8"/>
      <c r="C24" s="63"/>
      <c r="D24" s="33"/>
      <c r="E24" s="8"/>
      <c r="F24" s="8"/>
      <c r="G24" s="8"/>
      <c r="H24" s="2"/>
      <c r="I24" s="2"/>
      <c r="J24" s="2"/>
      <c r="K24" s="2"/>
      <c r="L24" s="2"/>
      <c r="M24" s="2"/>
    </row>
    <row r="25" spans="1:13" ht="18.75" x14ac:dyDescent="0.3">
      <c r="A25" s="8"/>
      <c r="B25" s="8"/>
      <c r="C25" s="63"/>
      <c r="D25" s="33"/>
      <c r="E25" s="8"/>
      <c r="F25" s="8"/>
      <c r="G25" s="8"/>
      <c r="H25" s="2"/>
      <c r="I25" s="2"/>
      <c r="J25" s="2"/>
      <c r="K25" s="2"/>
      <c r="L25" s="2"/>
      <c r="M25" s="2"/>
    </row>
    <row r="26" spans="1:13" ht="18.75" x14ac:dyDescent="0.3">
      <c r="A26" s="8"/>
      <c r="B26" s="8"/>
      <c r="C26" s="63"/>
      <c r="D26" s="33"/>
      <c r="E26" s="8"/>
      <c r="F26" s="8"/>
      <c r="G26" s="8"/>
      <c r="H26" s="2"/>
      <c r="I26" s="2"/>
      <c r="J26" s="2"/>
      <c r="K26" s="2"/>
      <c r="L26" s="2"/>
      <c r="M26" s="2"/>
    </row>
    <row r="27" spans="1:13" ht="18.75" x14ac:dyDescent="0.3">
      <c r="A27" s="8"/>
      <c r="B27" s="8"/>
      <c r="C27" s="63"/>
      <c r="D27" s="33"/>
      <c r="E27" s="8"/>
      <c r="F27" s="8"/>
      <c r="G27" s="8"/>
      <c r="H27" s="2"/>
      <c r="I27" s="2"/>
      <c r="J27" s="2"/>
      <c r="K27" s="2"/>
      <c r="L27" s="2"/>
      <c r="M27" s="2"/>
    </row>
    <row r="28" spans="1:13" ht="18.75" x14ac:dyDescent="0.3">
      <c r="A28" s="8"/>
      <c r="B28" s="8"/>
      <c r="C28" s="63"/>
      <c r="D28" s="33"/>
      <c r="E28" s="8"/>
      <c r="F28" s="8"/>
      <c r="G28" s="8"/>
      <c r="H28" s="2"/>
      <c r="I28" s="2"/>
      <c r="J28" s="2"/>
      <c r="K28" s="2"/>
      <c r="L28" s="2"/>
      <c r="M28" s="2"/>
    </row>
    <row r="29" spans="1:13" ht="18.75" x14ac:dyDescent="0.3">
      <c r="A29" s="8"/>
      <c r="B29" s="8"/>
      <c r="C29" s="63"/>
      <c r="D29" s="33"/>
      <c r="E29" s="8"/>
      <c r="F29" s="8"/>
      <c r="G29" s="8"/>
      <c r="H29" s="2"/>
      <c r="I29" s="2"/>
      <c r="J29" s="2"/>
      <c r="K29" s="2"/>
      <c r="L29" s="2"/>
      <c r="M29" s="2"/>
    </row>
    <row r="30" spans="1:13" ht="18.75" x14ac:dyDescent="0.3">
      <c r="A30" s="8"/>
      <c r="B30" s="8"/>
      <c r="C30" s="63"/>
      <c r="D30" s="33"/>
      <c r="E30" s="8"/>
      <c r="F30" s="8"/>
      <c r="G30" s="8"/>
      <c r="H30" s="2"/>
      <c r="I30" s="2"/>
      <c r="J30" s="2"/>
      <c r="K30" s="2"/>
      <c r="L30" s="2"/>
      <c r="M30" s="2"/>
    </row>
    <row r="31" spans="1:13" ht="18.75" x14ac:dyDescent="0.3">
      <c r="A31" s="8"/>
      <c r="B31" s="8"/>
      <c r="C31" s="63"/>
      <c r="D31" s="33"/>
      <c r="E31" s="8"/>
      <c r="F31" s="8"/>
      <c r="G31" s="8"/>
      <c r="H31" s="2"/>
      <c r="I31" s="2"/>
      <c r="J31" s="2"/>
      <c r="K31" s="2"/>
      <c r="L31" s="2"/>
      <c r="M31" s="2"/>
    </row>
    <row r="32" spans="1:13" ht="18.75" x14ac:dyDescent="0.3">
      <c r="A32" s="8"/>
      <c r="B32" s="8"/>
      <c r="C32" s="63"/>
      <c r="D32" s="33"/>
      <c r="E32" s="8"/>
      <c r="F32" s="8"/>
      <c r="G32" s="8"/>
      <c r="H32" s="2"/>
      <c r="I32" s="2"/>
      <c r="J32" s="2"/>
      <c r="K32" s="2"/>
      <c r="L32" s="2"/>
      <c r="M32" s="2"/>
    </row>
    <row r="33" spans="1:13" ht="18.75" x14ac:dyDescent="0.3">
      <c r="A33" s="8"/>
      <c r="B33" s="8"/>
      <c r="C33" s="63"/>
      <c r="D33" s="33"/>
      <c r="E33" s="8"/>
      <c r="F33" s="8"/>
      <c r="G33" s="8"/>
      <c r="H33" s="2"/>
      <c r="I33" s="2"/>
      <c r="J33" s="2"/>
      <c r="K33" s="2"/>
      <c r="L33" s="2"/>
      <c r="M33" s="2"/>
    </row>
    <row r="34" spans="1:13" ht="18.75" x14ac:dyDescent="0.3">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A3" workbookViewId="0">
      <selection activeCell="D6" sqref="D6:D17"/>
    </sheetView>
  </sheetViews>
  <sheetFormatPr defaultRowHeight="15" x14ac:dyDescent="0.25"/>
  <cols>
    <col min="1" max="2" width="4.42578125" style="3" customWidth="1"/>
    <col min="3" max="3" width="14.85546875" style="52"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7.75" x14ac:dyDescent="0.4">
      <c r="C3" s="57"/>
      <c r="D3" s="18" t="s">
        <v>8</v>
      </c>
      <c r="E3" s="18"/>
      <c r="F3" s="18" t="s">
        <v>18</v>
      </c>
      <c r="G3" s="1"/>
      <c r="H3" s="1"/>
      <c r="I3" s="1"/>
      <c r="J3" s="1"/>
      <c r="K3" s="1"/>
      <c r="L3" s="1"/>
      <c r="M3" s="1"/>
      <c r="N3" s="1"/>
      <c r="O3" s="99" t="s">
        <v>97</v>
      </c>
      <c r="P3" s="99"/>
      <c r="Q3" s="99"/>
      <c r="R3" s="99"/>
      <c r="S3" s="99"/>
      <c r="T3" s="99"/>
      <c r="U3" s="99"/>
      <c r="V3" s="99"/>
    </row>
    <row r="4" spans="1:22" ht="18.75" x14ac:dyDescent="0.3">
      <c r="C4" s="49"/>
      <c r="D4" s="11">
        <f>SUM(D6:D2004)</f>
        <v>0</v>
      </c>
      <c r="E4" s="11"/>
      <c r="F4" s="11">
        <f>SUM(F6:F2004)</f>
        <v>1800</v>
      </c>
      <c r="Q4" s="3"/>
    </row>
    <row r="5" spans="1:22" ht="56.25" x14ac:dyDescent="0.3">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75" x14ac:dyDescent="0.3">
      <c r="A6" s="8">
        <v>1</v>
      </c>
      <c r="B6" s="8">
        <v>1</v>
      </c>
      <c r="C6" s="51">
        <v>46195</v>
      </c>
      <c r="D6" s="55"/>
      <c r="E6" s="8"/>
      <c r="F6" s="8">
        <v>150</v>
      </c>
      <c r="G6" s="8" t="s">
        <v>208</v>
      </c>
      <c r="H6" s="2"/>
      <c r="I6" s="2"/>
      <c r="J6" s="2"/>
      <c r="K6" s="2"/>
      <c r="L6" s="2"/>
      <c r="M6" s="2"/>
      <c r="O6" s="2"/>
      <c r="P6" s="8">
        <v>1</v>
      </c>
      <c r="Q6" s="8"/>
      <c r="R6" s="2"/>
      <c r="S6" s="2"/>
    </row>
    <row r="7" spans="1:22" ht="18.75" x14ac:dyDescent="0.3">
      <c r="A7" s="8">
        <v>2</v>
      </c>
      <c r="B7" s="8">
        <v>2</v>
      </c>
      <c r="C7" s="51">
        <v>46195</v>
      </c>
      <c r="D7" s="55"/>
      <c r="E7" s="8"/>
      <c r="F7" s="8">
        <v>150</v>
      </c>
      <c r="G7" s="8" t="s">
        <v>209</v>
      </c>
      <c r="H7" s="2"/>
      <c r="I7" s="2"/>
      <c r="J7" s="2"/>
      <c r="K7" s="2"/>
      <c r="L7" s="2"/>
      <c r="M7" s="2"/>
      <c r="O7" s="2"/>
      <c r="P7" s="8">
        <v>2</v>
      </c>
      <c r="Q7" s="8"/>
      <c r="R7" s="2"/>
      <c r="S7" s="2"/>
    </row>
    <row r="8" spans="1:22" ht="18.75" x14ac:dyDescent="0.3">
      <c r="A8" s="8">
        <v>3</v>
      </c>
      <c r="B8" s="8">
        <v>3</v>
      </c>
      <c r="C8" s="51">
        <v>46195</v>
      </c>
      <c r="D8" s="55"/>
      <c r="E8" s="8"/>
      <c r="F8" s="8">
        <v>150</v>
      </c>
      <c r="G8" s="8" t="s">
        <v>100</v>
      </c>
      <c r="H8" s="2"/>
      <c r="I8" s="2"/>
      <c r="J8" s="2"/>
      <c r="K8" s="2"/>
      <c r="L8" s="2"/>
      <c r="M8" s="2"/>
      <c r="O8" s="8"/>
      <c r="P8" s="8">
        <v>3</v>
      </c>
      <c r="Q8" s="8"/>
      <c r="R8" s="2"/>
      <c r="S8" s="2"/>
    </row>
    <row r="9" spans="1:22" ht="18.75" x14ac:dyDescent="0.3">
      <c r="A9" s="8">
        <v>4</v>
      </c>
      <c r="B9" s="8">
        <v>4</v>
      </c>
      <c r="C9" s="51">
        <v>46195</v>
      </c>
      <c r="D9" s="55"/>
      <c r="E9" s="8"/>
      <c r="F9" s="8">
        <v>150</v>
      </c>
      <c r="G9" s="8" t="s">
        <v>101</v>
      </c>
      <c r="H9" s="2"/>
      <c r="I9" s="2"/>
      <c r="J9" s="2"/>
      <c r="K9" s="2"/>
      <c r="L9" s="2"/>
      <c r="M9" s="2"/>
      <c r="O9" s="8"/>
      <c r="P9" s="8">
        <v>4</v>
      </c>
      <c r="Q9" s="8"/>
      <c r="R9" s="2"/>
      <c r="S9" s="2"/>
    </row>
    <row r="10" spans="1:22" ht="18.75" x14ac:dyDescent="0.3">
      <c r="A10" s="8">
        <v>5</v>
      </c>
      <c r="B10" s="8">
        <v>5</v>
      </c>
      <c r="C10" s="51">
        <v>46195</v>
      </c>
      <c r="D10" s="55"/>
      <c r="E10" s="8"/>
      <c r="F10" s="8">
        <v>150</v>
      </c>
      <c r="G10" s="8" t="s">
        <v>102</v>
      </c>
      <c r="H10" s="2"/>
      <c r="I10" s="2"/>
      <c r="J10" s="2"/>
      <c r="K10" s="2"/>
      <c r="L10" s="2"/>
      <c r="M10" s="2"/>
      <c r="O10" s="8"/>
      <c r="P10" s="8">
        <v>5</v>
      </c>
      <c r="Q10" s="8"/>
      <c r="R10" s="2"/>
      <c r="S10" s="2"/>
    </row>
    <row r="11" spans="1:22" ht="18.75" x14ac:dyDescent="0.3">
      <c r="A11" s="8">
        <v>6</v>
      </c>
      <c r="B11" s="8">
        <v>6</v>
      </c>
      <c r="C11" s="51">
        <v>46195</v>
      </c>
      <c r="D11" s="55"/>
      <c r="E11" s="8"/>
      <c r="F11" s="8">
        <v>150</v>
      </c>
      <c r="G11" s="8" t="s">
        <v>103</v>
      </c>
      <c r="H11" s="2"/>
      <c r="I11" s="2"/>
      <c r="J11" s="2"/>
      <c r="K11" s="2"/>
      <c r="L11" s="2"/>
      <c r="M11" s="2"/>
      <c r="O11" s="8"/>
      <c r="P11" s="8">
        <v>6</v>
      </c>
      <c r="Q11" s="8"/>
      <c r="R11" s="2"/>
      <c r="S11" s="2"/>
    </row>
    <row r="12" spans="1:22" ht="18.75" x14ac:dyDescent="0.3">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75" x14ac:dyDescent="0.3">
      <c r="A13" s="8">
        <v>8</v>
      </c>
      <c r="B13" s="8">
        <v>8</v>
      </c>
      <c r="C13" s="51">
        <v>46359</v>
      </c>
      <c r="D13" s="55"/>
      <c r="E13" s="8"/>
      <c r="F13" s="8">
        <v>150</v>
      </c>
      <c r="G13" s="8" t="s">
        <v>105</v>
      </c>
      <c r="H13" s="2"/>
      <c r="I13" s="2"/>
      <c r="J13" s="2"/>
      <c r="K13" s="2"/>
      <c r="L13" s="2"/>
      <c r="M13" s="2"/>
      <c r="O13" s="2"/>
      <c r="P13" s="38"/>
      <c r="Q13" s="38"/>
      <c r="R13" s="2"/>
      <c r="S13" s="39"/>
    </row>
    <row r="14" spans="1:22" ht="18.75" x14ac:dyDescent="0.3">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75" x14ac:dyDescent="0.3">
      <c r="A15" s="8">
        <v>10</v>
      </c>
      <c r="B15" s="8">
        <v>10</v>
      </c>
      <c r="C15" s="51">
        <v>46359</v>
      </c>
      <c r="D15" s="55"/>
      <c r="E15" s="8"/>
      <c r="F15" s="8">
        <v>150</v>
      </c>
      <c r="G15" s="8" t="s">
        <v>107</v>
      </c>
      <c r="H15" s="2"/>
      <c r="I15" s="2"/>
      <c r="J15" s="2"/>
      <c r="K15" s="2"/>
      <c r="L15" s="2"/>
      <c r="M15" s="2"/>
      <c r="O15" s="32"/>
      <c r="P15" s="34"/>
      <c r="Q15" s="33"/>
      <c r="R15" s="2"/>
      <c r="S15" s="2"/>
    </row>
    <row r="16" spans="1:22" ht="18.75" x14ac:dyDescent="0.3">
      <c r="A16" s="8">
        <v>11</v>
      </c>
      <c r="B16" s="8">
        <v>11</v>
      </c>
      <c r="C16" s="51">
        <v>46359</v>
      </c>
      <c r="D16" s="55"/>
      <c r="E16" s="8"/>
      <c r="F16" s="8">
        <v>150</v>
      </c>
      <c r="G16" s="8" t="s">
        <v>108</v>
      </c>
      <c r="H16" s="2"/>
      <c r="I16" s="2"/>
      <c r="J16" s="2"/>
      <c r="K16" s="2"/>
      <c r="L16" s="2"/>
      <c r="M16" s="2"/>
    </row>
    <row r="17" spans="1:13" ht="18.75" x14ac:dyDescent="0.3">
      <c r="A17" s="8">
        <v>12</v>
      </c>
      <c r="B17" s="8">
        <v>12</v>
      </c>
      <c r="C17" s="51">
        <v>46359</v>
      </c>
      <c r="D17" s="55"/>
      <c r="E17" s="8"/>
      <c r="F17" s="8">
        <v>150</v>
      </c>
      <c r="G17" s="8" t="s">
        <v>109</v>
      </c>
      <c r="H17" s="2"/>
      <c r="I17" s="2"/>
      <c r="J17" s="2"/>
      <c r="K17" s="2"/>
      <c r="L17" s="2"/>
      <c r="M17" s="2"/>
    </row>
    <row r="18" spans="1:13" ht="18.75" x14ac:dyDescent="0.3">
      <c r="G18" s="8"/>
      <c r="H18" s="2"/>
      <c r="I18" s="2"/>
      <c r="J18" s="2"/>
      <c r="K18" s="2"/>
      <c r="L18" s="2"/>
      <c r="M18" s="2"/>
    </row>
    <row r="19" spans="1:13" ht="18.75" x14ac:dyDescent="0.3">
      <c r="G19" s="8"/>
      <c r="H19" s="2"/>
      <c r="I19" s="2"/>
      <c r="J19" s="2"/>
      <c r="K19" s="2"/>
      <c r="L19" s="2"/>
      <c r="M19" s="2"/>
    </row>
    <row r="20" spans="1:13" ht="18.75" x14ac:dyDescent="0.3">
      <c r="G20" s="8"/>
      <c r="H20" s="2"/>
      <c r="I20" s="2"/>
      <c r="J20" s="2"/>
      <c r="K20" s="2"/>
      <c r="L20" s="2"/>
      <c r="M20" s="2"/>
    </row>
    <row r="21" spans="1:13" ht="18.75" x14ac:dyDescent="0.3">
      <c r="A21" s="8"/>
      <c r="B21" s="8"/>
      <c r="C21" s="51"/>
      <c r="D21" s="8"/>
      <c r="E21" s="8"/>
      <c r="F21" s="8"/>
      <c r="G21" s="8"/>
      <c r="H21" s="2"/>
      <c r="I21" s="2"/>
      <c r="J21" s="2"/>
      <c r="K21" s="2"/>
      <c r="L21" s="2"/>
      <c r="M21" s="2"/>
    </row>
    <row r="22" spans="1:13" ht="18.75" x14ac:dyDescent="0.3">
      <c r="A22" s="8"/>
      <c r="B22" s="8"/>
      <c r="C22" s="51"/>
      <c r="D22" s="8"/>
      <c r="E22" s="8"/>
      <c r="F22" s="8"/>
      <c r="G22" s="8"/>
      <c r="H22" s="2"/>
      <c r="I22" s="2"/>
      <c r="J22" s="2"/>
      <c r="K22" s="2"/>
      <c r="L22" s="2"/>
      <c r="M22" s="2"/>
    </row>
    <row r="23" spans="1:13" ht="18.75" x14ac:dyDescent="0.3">
      <c r="A23" s="8"/>
      <c r="B23" s="8"/>
      <c r="C23" s="51"/>
      <c r="D23" s="8"/>
      <c r="E23" s="8"/>
      <c r="F23" s="8"/>
      <c r="G23" s="8"/>
      <c r="H23" s="2"/>
      <c r="I23" s="2"/>
      <c r="J23" s="2"/>
      <c r="K23" s="2"/>
      <c r="L23" s="2"/>
      <c r="M23" s="2"/>
    </row>
    <row r="24" spans="1:13" ht="18.75" x14ac:dyDescent="0.3">
      <c r="A24" s="8"/>
      <c r="B24" s="8"/>
      <c r="C24" s="51"/>
      <c r="D24" s="8"/>
      <c r="E24" s="8"/>
      <c r="F24" s="8"/>
      <c r="G24" s="8"/>
      <c r="H24" s="2"/>
      <c r="I24" s="2"/>
      <c r="J24" s="2"/>
      <c r="K24" s="2"/>
      <c r="L24" s="2"/>
      <c r="M24" s="2"/>
    </row>
    <row r="25" spans="1:13" ht="18.75" x14ac:dyDescent="0.3">
      <c r="A25" s="8"/>
      <c r="B25" s="8"/>
      <c r="C25" s="51"/>
      <c r="D25" s="8"/>
      <c r="E25" s="8"/>
      <c r="F25" s="8"/>
      <c r="G25" s="8"/>
      <c r="H25" s="2"/>
      <c r="I25" s="2"/>
      <c r="J25" s="2"/>
      <c r="K25" s="2"/>
      <c r="L25" s="2"/>
      <c r="M25" s="2"/>
    </row>
    <row r="26" spans="1:13" ht="18.75" x14ac:dyDescent="0.3">
      <c r="A26" s="8"/>
      <c r="B26" s="8"/>
      <c r="C26" s="51"/>
      <c r="D26" s="8"/>
      <c r="E26" s="8"/>
      <c r="F26" s="8"/>
      <c r="G26" s="8"/>
      <c r="H26" s="2"/>
      <c r="I26" s="2"/>
      <c r="J26" s="2"/>
      <c r="K26" s="2"/>
      <c r="L26" s="2"/>
      <c r="M26" s="2"/>
    </row>
    <row r="27" spans="1:13" ht="18.75" x14ac:dyDescent="0.3">
      <c r="A27" s="8"/>
      <c r="B27" s="8"/>
      <c r="C27" s="51"/>
      <c r="D27" s="8"/>
      <c r="E27" s="8"/>
      <c r="F27" s="8"/>
      <c r="G27" s="8"/>
      <c r="H27" s="2"/>
      <c r="I27" s="2"/>
      <c r="J27" s="2"/>
      <c r="K27" s="2"/>
      <c r="L27" s="2"/>
      <c r="M27" s="2"/>
    </row>
    <row r="28" spans="1:13" ht="18.75" x14ac:dyDescent="0.3">
      <c r="A28" s="8"/>
      <c r="B28" s="8"/>
      <c r="C28" s="51"/>
      <c r="D28" s="8"/>
      <c r="E28" s="8"/>
      <c r="F28" s="8"/>
      <c r="G28" s="8"/>
      <c r="H28" s="2"/>
      <c r="I28" s="2"/>
      <c r="J28" s="2"/>
      <c r="K28" s="2"/>
      <c r="L28" s="2"/>
      <c r="M28" s="2"/>
    </row>
    <row r="29" spans="1:13" ht="18.75" x14ac:dyDescent="0.3">
      <c r="A29" s="8"/>
      <c r="B29" s="8"/>
      <c r="C29" s="51"/>
      <c r="D29" s="8"/>
      <c r="E29" s="8"/>
      <c r="F29" s="8"/>
      <c r="G29" s="8"/>
      <c r="H29" s="2"/>
      <c r="I29" s="2"/>
      <c r="J29" s="2"/>
      <c r="K29" s="2"/>
      <c r="L29" s="2"/>
      <c r="M29" s="2"/>
    </row>
    <row r="30" spans="1:13" ht="18.75" x14ac:dyDescent="0.3">
      <c r="A30" s="8"/>
      <c r="B30" s="8"/>
      <c r="C30" s="51"/>
      <c r="D30" s="8"/>
      <c r="E30" s="8"/>
      <c r="F30" s="8"/>
      <c r="G30" s="8"/>
      <c r="H30" s="2"/>
      <c r="I30" s="2"/>
      <c r="J30" s="2"/>
      <c r="K30" s="2"/>
      <c r="L30" s="2"/>
      <c r="M30" s="2"/>
    </row>
    <row r="31" spans="1:13" ht="18.75" x14ac:dyDescent="0.3">
      <c r="A31" s="8"/>
      <c r="B31" s="8"/>
      <c r="C31" s="51"/>
      <c r="D31" s="8"/>
      <c r="E31" s="8"/>
      <c r="F31" s="8"/>
      <c r="G31" s="8"/>
      <c r="H31" s="2"/>
      <c r="I31" s="2"/>
      <c r="J31" s="2"/>
      <c r="K31" s="2"/>
      <c r="L31" s="2"/>
      <c r="M31" s="2"/>
    </row>
    <row r="32" spans="1:13" ht="18.75" x14ac:dyDescent="0.3">
      <c r="A32" s="8"/>
      <c r="B32" s="8"/>
      <c r="C32" s="51"/>
      <c r="D32" s="8"/>
      <c r="E32" s="8"/>
      <c r="F32" s="8"/>
      <c r="G32" s="8"/>
      <c r="H32" s="2"/>
      <c r="I32" s="2"/>
      <c r="J32" s="2"/>
      <c r="K32" s="2"/>
      <c r="L32" s="2"/>
      <c r="M32" s="2"/>
    </row>
    <row r="33" spans="1:13" ht="18.75" x14ac:dyDescent="0.3">
      <c r="A33" s="8"/>
      <c r="B33" s="8"/>
      <c r="C33" s="51"/>
      <c r="D33" s="8"/>
      <c r="E33" s="8"/>
      <c r="F33" s="8"/>
      <c r="G33" s="8"/>
      <c r="H33" s="2"/>
      <c r="I33" s="2"/>
      <c r="J33" s="2"/>
      <c r="K33" s="2"/>
      <c r="L33" s="2"/>
      <c r="M33" s="2"/>
    </row>
    <row r="34" spans="1:13" ht="18.75" x14ac:dyDescent="0.3">
      <c r="A34" s="8"/>
      <c r="B34" s="8"/>
      <c r="C34" s="51"/>
      <c r="D34" s="8"/>
      <c r="E34" s="8"/>
      <c r="F34" s="8"/>
      <c r="G34" s="8"/>
      <c r="H34" s="2"/>
      <c r="I34" s="2"/>
      <c r="J34" s="2"/>
      <c r="K34" s="2"/>
      <c r="L34" s="2"/>
      <c r="M34" s="2"/>
    </row>
    <row r="35" spans="1:13" ht="18.75" x14ac:dyDescent="0.3">
      <c r="A35" s="8"/>
      <c r="B35" s="8"/>
      <c r="C35" s="51"/>
      <c r="D35" s="8"/>
      <c r="E35" s="8"/>
      <c r="F35" s="8"/>
      <c r="G35" s="8"/>
      <c r="H35" s="2"/>
      <c r="I35" s="2"/>
      <c r="J35" s="2"/>
      <c r="K35" s="2"/>
      <c r="L35" s="2"/>
      <c r="M35" s="2"/>
    </row>
    <row r="36" spans="1:13" ht="18.75" x14ac:dyDescent="0.3">
      <c r="A36" s="8"/>
      <c r="B36" s="8"/>
      <c r="C36" s="51"/>
      <c r="D36" s="8"/>
      <c r="E36" s="8"/>
      <c r="F36" s="8"/>
      <c r="G36" s="8"/>
      <c r="H36" s="2"/>
      <c r="I36" s="2"/>
      <c r="J36" s="2"/>
      <c r="K36" s="2"/>
      <c r="L36" s="2"/>
      <c r="M36" s="2"/>
    </row>
    <row r="37" spans="1:13" ht="18.75" x14ac:dyDescent="0.3">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6" sqref="D6:D17"/>
    </sheetView>
  </sheetViews>
  <sheetFormatPr defaultRowHeight="15" x14ac:dyDescent="0.25"/>
  <cols>
    <col min="1" max="2" width="4.42578125" style="3" customWidth="1"/>
    <col min="3" max="3" width="14.85546875" style="78" bestFit="1" customWidth="1"/>
    <col min="4" max="4" width="8.28515625" style="66" bestFit="1" customWidth="1"/>
    <col min="5" max="5" width="24.7109375" style="3" bestFit="1" customWidth="1"/>
    <col min="6" max="6" width="9.71093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7.75" x14ac:dyDescent="0.4">
      <c r="C3" s="75"/>
      <c r="D3" s="18" t="s">
        <v>8</v>
      </c>
      <c r="E3" s="18"/>
      <c r="F3" s="18" t="s">
        <v>18</v>
      </c>
      <c r="G3" s="1"/>
      <c r="H3" s="1"/>
      <c r="I3" s="1"/>
      <c r="J3" s="1"/>
      <c r="K3" s="1"/>
      <c r="L3" s="1"/>
      <c r="M3" s="1"/>
      <c r="N3" s="1"/>
      <c r="O3" s="1"/>
      <c r="P3" s="1"/>
      <c r="Q3" s="1"/>
    </row>
    <row r="4" spans="1:17" ht="18.75" x14ac:dyDescent="0.3">
      <c r="C4" s="76"/>
      <c r="D4" s="83">
        <f>SUM(D6:D2001)</f>
        <v>0</v>
      </c>
      <c r="E4" s="11"/>
      <c r="F4" s="83">
        <f>SUM(F6:F2001)</f>
        <v>3600</v>
      </c>
    </row>
    <row r="5" spans="1:17" ht="56.25" x14ac:dyDescent="0.25">
      <c r="A5" s="4" t="s">
        <v>7</v>
      </c>
      <c r="B5" s="4" t="s">
        <v>17</v>
      </c>
      <c r="C5" s="50" t="s">
        <v>1</v>
      </c>
      <c r="D5" s="4" t="s">
        <v>2</v>
      </c>
      <c r="E5" s="4" t="s">
        <v>4</v>
      </c>
      <c r="F5" s="4" t="s">
        <v>19</v>
      </c>
      <c r="G5" s="4" t="s">
        <v>4</v>
      </c>
      <c r="H5" s="5"/>
      <c r="I5" s="5"/>
      <c r="J5" s="5"/>
      <c r="K5" s="5"/>
      <c r="L5" s="5"/>
      <c r="M5" s="5"/>
    </row>
    <row r="6" spans="1:17" ht="18.75" x14ac:dyDescent="0.3">
      <c r="A6" s="8">
        <v>1</v>
      </c>
      <c r="B6" s="8">
        <v>1</v>
      </c>
      <c r="C6" s="77">
        <v>45315</v>
      </c>
      <c r="D6" s="33"/>
      <c r="E6" s="8"/>
      <c r="F6" s="33">
        <v>300</v>
      </c>
      <c r="G6" s="8" t="s">
        <v>222</v>
      </c>
      <c r="H6" s="2"/>
      <c r="I6" s="2"/>
      <c r="J6" s="2"/>
      <c r="K6" s="2"/>
      <c r="L6" s="2"/>
      <c r="M6" s="2"/>
    </row>
    <row r="7" spans="1:17" ht="18.75" x14ac:dyDescent="0.3">
      <c r="A7" s="8">
        <v>2</v>
      </c>
      <c r="B7" s="8">
        <v>2</v>
      </c>
      <c r="C7" s="77">
        <v>46080</v>
      </c>
      <c r="D7" s="33"/>
      <c r="E7" s="8"/>
      <c r="F7" s="33">
        <v>300</v>
      </c>
      <c r="G7" s="8" t="s">
        <v>223</v>
      </c>
      <c r="H7" s="2"/>
      <c r="I7" s="2"/>
      <c r="J7" s="2"/>
      <c r="K7" s="2"/>
      <c r="L7" s="2"/>
      <c r="M7" s="2"/>
    </row>
    <row r="8" spans="1:17" ht="18.75" x14ac:dyDescent="0.3">
      <c r="A8" s="8">
        <v>3</v>
      </c>
      <c r="B8" s="8">
        <v>3</v>
      </c>
      <c r="C8" s="77">
        <v>46125</v>
      </c>
      <c r="D8" s="33"/>
      <c r="E8" s="8"/>
      <c r="F8" s="33">
        <v>300</v>
      </c>
      <c r="G8" s="8" t="s">
        <v>224</v>
      </c>
      <c r="H8" s="2"/>
      <c r="I8" s="2"/>
      <c r="J8" s="2"/>
      <c r="K8" s="2"/>
      <c r="L8" s="2"/>
      <c r="M8" s="2"/>
    </row>
    <row r="9" spans="1:17" ht="18.75" x14ac:dyDescent="0.3">
      <c r="A9" s="8">
        <v>4</v>
      </c>
      <c r="B9" s="8">
        <v>4</v>
      </c>
      <c r="C9" s="77">
        <v>46152</v>
      </c>
      <c r="D9" s="33"/>
      <c r="E9" s="8"/>
      <c r="F9" s="33">
        <v>300</v>
      </c>
      <c r="G9" s="8" t="s">
        <v>225</v>
      </c>
      <c r="H9" s="2"/>
      <c r="I9" s="2"/>
      <c r="J9" s="2"/>
      <c r="K9" s="2"/>
      <c r="L9" s="2"/>
      <c r="M9" s="2"/>
    </row>
    <row r="10" spans="1:17" ht="18.75" x14ac:dyDescent="0.3">
      <c r="A10" s="8">
        <v>5</v>
      </c>
      <c r="B10" s="8">
        <v>5</v>
      </c>
      <c r="C10" s="77">
        <v>46152</v>
      </c>
      <c r="D10" s="33"/>
      <c r="E10" s="8"/>
      <c r="F10" s="33">
        <v>300</v>
      </c>
      <c r="G10" s="8" t="s">
        <v>226</v>
      </c>
      <c r="H10" s="2"/>
      <c r="I10" s="2"/>
      <c r="J10" s="2"/>
      <c r="K10" s="2"/>
      <c r="L10" s="2"/>
      <c r="M10" s="2"/>
    </row>
    <row r="11" spans="1:17" ht="18.75" x14ac:dyDescent="0.3">
      <c r="A11" s="8">
        <v>6</v>
      </c>
      <c r="B11" s="8">
        <v>6</v>
      </c>
      <c r="C11" s="77">
        <v>46232</v>
      </c>
      <c r="D11" s="33"/>
      <c r="E11" s="8"/>
      <c r="F11" s="33">
        <v>300</v>
      </c>
      <c r="G11" s="8" t="s">
        <v>227</v>
      </c>
      <c r="H11" s="2"/>
      <c r="I11" s="2"/>
      <c r="J11" s="2"/>
      <c r="K11" s="2"/>
      <c r="L11" s="2"/>
      <c r="M11" s="2"/>
    </row>
    <row r="12" spans="1:17" ht="18.75" x14ac:dyDescent="0.3">
      <c r="A12" s="8">
        <v>7</v>
      </c>
      <c r="B12" s="8">
        <v>7</v>
      </c>
      <c r="C12" s="77">
        <v>46232</v>
      </c>
      <c r="D12" s="33"/>
      <c r="E12" s="8"/>
      <c r="F12" s="33">
        <v>300</v>
      </c>
      <c r="G12" s="8" t="s">
        <v>228</v>
      </c>
      <c r="H12" s="2"/>
      <c r="I12" s="2"/>
      <c r="J12" s="2"/>
      <c r="K12" s="2"/>
      <c r="L12" s="2"/>
      <c r="M12" s="2"/>
    </row>
    <row r="13" spans="1:17" ht="18.75" x14ac:dyDescent="0.3">
      <c r="A13" s="8">
        <v>8</v>
      </c>
      <c r="B13" s="8">
        <v>8</v>
      </c>
      <c r="C13" s="77">
        <v>46354</v>
      </c>
      <c r="D13" s="33"/>
      <c r="E13" s="8"/>
      <c r="F13" s="33">
        <v>300</v>
      </c>
      <c r="G13" s="8" t="s">
        <v>105</v>
      </c>
      <c r="H13" s="2"/>
      <c r="I13" s="2"/>
      <c r="J13" s="2"/>
      <c r="K13" s="2"/>
      <c r="L13" s="2"/>
      <c r="M13" s="2"/>
    </row>
    <row r="14" spans="1:17" ht="18.75" x14ac:dyDescent="0.3">
      <c r="A14" s="8">
        <v>9</v>
      </c>
      <c r="B14" s="8">
        <v>9</v>
      </c>
      <c r="C14" s="77">
        <v>46354</v>
      </c>
      <c r="D14" s="33"/>
      <c r="E14" s="8"/>
      <c r="F14" s="33">
        <v>300</v>
      </c>
      <c r="G14" s="8" t="s">
        <v>106</v>
      </c>
      <c r="H14" s="2"/>
      <c r="I14" s="2"/>
      <c r="J14" s="2"/>
      <c r="K14" s="2"/>
      <c r="L14" s="2"/>
      <c r="M14" s="2"/>
    </row>
    <row r="15" spans="1:17" ht="18.75" x14ac:dyDescent="0.3">
      <c r="A15" s="8">
        <v>10</v>
      </c>
      <c r="B15" s="8">
        <v>10</v>
      </c>
      <c r="C15" s="77">
        <v>46357</v>
      </c>
      <c r="D15" s="33"/>
      <c r="E15" s="8"/>
      <c r="F15" s="33">
        <v>300</v>
      </c>
      <c r="G15" s="8" t="s">
        <v>107</v>
      </c>
      <c r="H15" s="2"/>
      <c r="I15" s="2"/>
      <c r="J15" s="2"/>
      <c r="K15" s="2"/>
      <c r="L15" s="2"/>
      <c r="M15" s="2"/>
    </row>
    <row r="16" spans="1:17" ht="18.75" x14ac:dyDescent="0.3">
      <c r="A16" s="8">
        <v>11</v>
      </c>
      <c r="B16" s="8">
        <v>11</v>
      </c>
      <c r="C16" s="77">
        <v>46357</v>
      </c>
      <c r="D16" s="33"/>
      <c r="E16" s="8"/>
      <c r="F16" s="33">
        <v>300</v>
      </c>
      <c r="G16" s="8" t="s">
        <v>220</v>
      </c>
      <c r="H16" s="2"/>
      <c r="I16" s="2"/>
      <c r="J16" s="2"/>
      <c r="K16" s="2"/>
      <c r="L16" s="2"/>
      <c r="M16" s="2"/>
    </row>
    <row r="17" spans="1:13" ht="18.75" x14ac:dyDescent="0.3">
      <c r="A17" s="8">
        <v>12</v>
      </c>
      <c r="B17" s="8">
        <v>12</v>
      </c>
      <c r="C17" s="77">
        <v>46357</v>
      </c>
      <c r="D17" s="33"/>
      <c r="E17" s="8"/>
      <c r="F17" s="33">
        <v>300</v>
      </c>
      <c r="G17" s="8" t="s">
        <v>221</v>
      </c>
      <c r="H17" s="2"/>
      <c r="I17" s="2"/>
      <c r="J17" s="2"/>
      <c r="K17" s="2"/>
      <c r="L17" s="2"/>
      <c r="M17" s="2"/>
    </row>
    <row r="18" spans="1:13" ht="18.75" x14ac:dyDescent="0.3">
      <c r="A18" s="8"/>
      <c r="B18" s="8"/>
      <c r="C18" s="77"/>
      <c r="D18" s="33"/>
      <c r="E18" s="8"/>
      <c r="F18" s="33"/>
      <c r="G18" s="8"/>
      <c r="H18" s="2"/>
      <c r="I18" s="2"/>
      <c r="J18" s="2"/>
      <c r="K18" s="2"/>
      <c r="L18" s="2"/>
      <c r="M18" s="2"/>
    </row>
    <row r="19" spans="1:13" ht="18.75" x14ac:dyDescent="0.3">
      <c r="A19" s="8"/>
      <c r="B19" s="8"/>
      <c r="C19" s="77"/>
      <c r="D19" s="33"/>
      <c r="E19" s="8"/>
      <c r="F19" s="33"/>
      <c r="G19" s="8"/>
      <c r="H19" s="2"/>
      <c r="I19" s="2"/>
      <c r="J19" s="2"/>
      <c r="K19" s="2"/>
      <c r="L19" s="2"/>
      <c r="M19" s="2"/>
    </row>
    <row r="20" spans="1:13" ht="18.75" x14ac:dyDescent="0.3">
      <c r="A20" s="8"/>
      <c r="B20" s="8"/>
      <c r="C20" s="77"/>
      <c r="D20" s="33"/>
      <c r="E20" s="8"/>
      <c r="F20" s="33"/>
      <c r="G20" s="8"/>
      <c r="H20" s="2"/>
      <c r="I20" s="2"/>
      <c r="J20" s="2"/>
      <c r="K20" s="2"/>
      <c r="L20" s="2"/>
      <c r="M20" s="2"/>
    </row>
    <row r="21" spans="1:13" ht="18.75" x14ac:dyDescent="0.3">
      <c r="A21" s="8"/>
      <c r="B21" s="8"/>
      <c r="C21" s="77"/>
      <c r="D21" s="33"/>
      <c r="E21" s="8"/>
      <c r="F21" s="33"/>
      <c r="G21" s="8"/>
      <c r="H21" s="2"/>
      <c r="I21" s="2"/>
      <c r="J21" s="2"/>
      <c r="K21" s="2"/>
      <c r="L21" s="2"/>
      <c r="M21" s="2"/>
    </row>
    <row r="22" spans="1:13" ht="18.75" x14ac:dyDescent="0.3">
      <c r="A22" s="8"/>
      <c r="B22" s="8"/>
      <c r="C22" s="77"/>
      <c r="D22" s="33"/>
      <c r="E22" s="8"/>
      <c r="F22" s="33"/>
      <c r="G22" s="8"/>
      <c r="H22" s="2"/>
      <c r="I22" s="2"/>
      <c r="J22" s="2"/>
      <c r="K22" s="2"/>
      <c r="L22" s="2"/>
      <c r="M22" s="2"/>
    </row>
    <row r="23" spans="1:13" ht="18.75" x14ac:dyDescent="0.3">
      <c r="A23" s="8"/>
      <c r="B23" s="8"/>
      <c r="C23" s="77"/>
      <c r="D23" s="33"/>
      <c r="E23" s="8"/>
      <c r="F23" s="33"/>
      <c r="G23" s="8"/>
      <c r="H23" s="2"/>
      <c r="I23" s="2"/>
      <c r="J23" s="2"/>
      <c r="K23" s="2"/>
      <c r="L23" s="2"/>
      <c r="M23" s="2"/>
    </row>
    <row r="24" spans="1:13" ht="18.75" x14ac:dyDescent="0.3">
      <c r="A24" s="8"/>
      <c r="B24" s="8"/>
      <c r="C24" s="77"/>
      <c r="D24" s="33"/>
      <c r="E24" s="8"/>
      <c r="F24" s="33"/>
      <c r="G24" s="8"/>
      <c r="H24" s="2"/>
      <c r="I24" s="2"/>
      <c r="J24" s="2"/>
      <c r="K24" s="2"/>
      <c r="L24" s="2"/>
      <c r="M24" s="2"/>
    </row>
    <row r="25" spans="1:13" ht="18.75" x14ac:dyDescent="0.3">
      <c r="A25" s="8"/>
      <c r="B25" s="8"/>
      <c r="C25" s="77"/>
      <c r="D25" s="33"/>
      <c r="E25" s="8"/>
      <c r="F25" s="33"/>
      <c r="G25" s="8"/>
      <c r="H25" s="2"/>
      <c r="I25" s="2"/>
      <c r="J25" s="2"/>
      <c r="K25" s="2"/>
      <c r="L25" s="2"/>
      <c r="M25" s="2"/>
    </row>
    <row r="26" spans="1:13" ht="18.75" x14ac:dyDescent="0.3">
      <c r="A26" s="8"/>
      <c r="B26" s="8"/>
      <c r="C26" s="77"/>
      <c r="D26" s="33"/>
      <c r="E26" s="8"/>
      <c r="F26" s="33"/>
      <c r="G26" s="8"/>
      <c r="H26" s="2"/>
      <c r="I26" s="2"/>
      <c r="J26" s="2"/>
      <c r="K26" s="2"/>
      <c r="L26" s="2"/>
      <c r="M26" s="2"/>
    </row>
    <row r="27" spans="1:13" ht="18.75" x14ac:dyDescent="0.3">
      <c r="A27" s="8"/>
      <c r="B27" s="8"/>
      <c r="C27" s="77"/>
      <c r="D27" s="33"/>
      <c r="E27" s="8"/>
      <c r="F27" s="33"/>
      <c r="G27" s="8"/>
      <c r="H27" s="2"/>
      <c r="I27" s="2"/>
      <c r="J27" s="2"/>
      <c r="K27" s="2"/>
      <c r="L27" s="2"/>
      <c r="M27" s="2"/>
    </row>
    <row r="28" spans="1:13" ht="18.75" x14ac:dyDescent="0.3">
      <c r="A28" s="8"/>
      <c r="B28" s="8"/>
      <c r="C28" s="77"/>
      <c r="D28" s="33"/>
      <c r="E28" s="8"/>
      <c r="F28" s="33"/>
      <c r="G28" s="8"/>
      <c r="H28" s="2"/>
      <c r="I28" s="2"/>
      <c r="J28" s="2"/>
      <c r="K28" s="2"/>
      <c r="L28" s="2"/>
      <c r="M28" s="2"/>
    </row>
    <row r="29" spans="1:13" ht="18.75" x14ac:dyDescent="0.3">
      <c r="A29" s="8"/>
      <c r="B29" s="8"/>
      <c r="C29" s="77"/>
      <c r="D29" s="33"/>
      <c r="E29" s="8"/>
      <c r="F29" s="33"/>
      <c r="G29" s="8"/>
      <c r="H29" s="2"/>
      <c r="I29" s="2"/>
      <c r="J29" s="2"/>
      <c r="K29" s="2"/>
      <c r="L29" s="2"/>
      <c r="M29" s="2"/>
    </row>
    <row r="30" spans="1:13" ht="18.75" x14ac:dyDescent="0.3">
      <c r="A30" s="8"/>
      <c r="B30" s="8"/>
      <c r="C30" s="77"/>
      <c r="D30" s="33"/>
      <c r="E30" s="8"/>
      <c r="F30" s="33"/>
      <c r="G30" s="8"/>
      <c r="H30" s="2"/>
      <c r="I30" s="2"/>
      <c r="J30" s="2"/>
      <c r="K30" s="2"/>
      <c r="L30" s="2"/>
      <c r="M30" s="2"/>
    </row>
    <row r="31" spans="1:13" ht="18.75" x14ac:dyDescent="0.3">
      <c r="A31" s="8"/>
      <c r="B31" s="8"/>
      <c r="C31" s="77"/>
      <c r="D31" s="33"/>
      <c r="E31" s="8"/>
      <c r="F31" s="33"/>
      <c r="G31" s="8"/>
      <c r="H31" s="2"/>
      <c r="I31" s="2"/>
      <c r="J31" s="2"/>
      <c r="K31" s="2"/>
      <c r="L31" s="2"/>
      <c r="M31" s="2"/>
    </row>
    <row r="32" spans="1:13" ht="18.75" x14ac:dyDescent="0.3">
      <c r="A32" s="8"/>
      <c r="B32" s="8"/>
      <c r="C32" s="77"/>
      <c r="D32" s="33"/>
      <c r="E32" s="8"/>
      <c r="F32" s="33"/>
      <c r="G32" s="8"/>
      <c r="H32" s="2"/>
      <c r="I32" s="2"/>
      <c r="J32" s="2"/>
      <c r="K32" s="2"/>
      <c r="L32" s="2"/>
      <c r="M32" s="2"/>
    </row>
    <row r="33" spans="1:13" ht="18.75" x14ac:dyDescent="0.3">
      <c r="A33" s="8"/>
      <c r="B33" s="8"/>
      <c r="C33" s="77"/>
      <c r="D33" s="33"/>
      <c r="E33" s="8"/>
      <c r="F33" s="33"/>
      <c r="G33" s="8"/>
      <c r="H33" s="2"/>
      <c r="I33" s="2"/>
      <c r="J33" s="2"/>
      <c r="K33" s="2"/>
      <c r="L33" s="2"/>
      <c r="M33" s="2"/>
    </row>
    <row r="34" spans="1:13" ht="18.75" x14ac:dyDescent="0.3">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6" sqref="D6:D17"/>
    </sheetView>
  </sheetViews>
  <sheetFormatPr defaultRowHeight="15" x14ac:dyDescent="0.25"/>
  <cols>
    <col min="1" max="2" width="4.42578125" style="3" customWidth="1"/>
    <col min="3" max="3" width="14.85546875" style="52" bestFit="1" customWidth="1"/>
    <col min="4" max="4" width="8.28515625" style="66" bestFit="1" customWidth="1"/>
    <col min="5" max="5" width="24.7109375" style="3" bestFit="1" customWidth="1"/>
    <col min="6" max="6" width="9.71093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7.75" x14ac:dyDescent="0.4">
      <c r="C3" s="57"/>
      <c r="D3" s="18" t="s">
        <v>8</v>
      </c>
      <c r="E3" s="18"/>
      <c r="F3" s="18" t="s">
        <v>18</v>
      </c>
      <c r="G3" s="1"/>
      <c r="H3" s="1"/>
      <c r="I3" s="1"/>
      <c r="J3" s="1"/>
      <c r="K3" s="1"/>
      <c r="L3" s="1"/>
      <c r="M3" s="1"/>
      <c r="N3" s="1"/>
      <c r="O3" s="1"/>
      <c r="P3" s="1"/>
      <c r="Q3" s="1"/>
    </row>
    <row r="4" spans="1:17" ht="18.75" x14ac:dyDescent="0.3">
      <c r="C4" s="49"/>
      <c r="D4" s="83">
        <f>SUM(D6:D2001)</f>
        <v>0</v>
      </c>
      <c r="E4" s="11"/>
      <c r="F4" s="83">
        <f>SUM(F6:F2001)</f>
        <v>3600</v>
      </c>
    </row>
    <row r="5" spans="1:17" ht="56.25" x14ac:dyDescent="0.25">
      <c r="A5" s="4" t="s">
        <v>7</v>
      </c>
      <c r="B5" s="4" t="s">
        <v>17</v>
      </c>
      <c r="C5" s="50" t="s">
        <v>1</v>
      </c>
      <c r="D5" s="4" t="s">
        <v>2</v>
      </c>
      <c r="E5" s="4" t="s">
        <v>4</v>
      </c>
      <c r="F5" s="4" t="s">
        <v>19</v>
      </c>
      <c r="G5" s="4" t="s">
        <v>4</v>
      </c>
      <c r="H5" s="5"/>
      <c r="I5" s="5"/>
      <c r="J5" s="5"/>
      <c r="K5" s="5"/>
      <c r="L5" s="5"/>
      <c r="M5" s="5"/>
    </row>
    <row r="6" spans="1:17" ht="18.75" x14ac:dyDescent="0.3">
      <c r="A6" s="8">
        <v>1</v>
      </c>
      <c r="B6" s="33">
        <v>1</v>
      </c>
      <c r="C6" s="51">
        <v>45314</v>
      </c>
      <c r="D6" s="33"/>
      <c r="E6" s="8"/>
      <c r="F6" s="33">
        <v>300</v>
      </c>
      <c r="G6" s="8" t="s">
        <v>165</v>
      </c>
      <c r="H6" s="2"/>
      <c r="I6" s="2"/>
      <c r="J6" s="2"/>
      <c r="K6" s="2"/>
      <c r="L6" s="2"/>
      <c r="M6" s="2"/>
    </row>
    <row r="7" spans="1:17" ht="18.75" x14ac:dyDescent="0.3">
      <c r="A7" s="8">
        <v>2</v>
      </c>
      <c r="B7" s="33">
        <v>2</v>
      </c>
      <c r="C7" s="51">
        <v>45322</v>
      </c>
      <c r="D7" s="33"/>
      <c r="E7" s="8"/>
      <c r="F7" s="33">
        <v>300</v>
      </c>
      <c r="G7" s="8" t="s">
        <v>166</v>
      </c>
      <c r="H7" s="2"/>
      <c r="I7" s="2"/>
      <c r="J7" s="2"/>
      <c r="K7" s="2"/>
      <c r="L7" s="2"/>
      <c r="M7" s="2"/>
    </row>
    <row r="8" spans="1:17" ht="18.75" x14ac:dyDescent="0.3">
      <c r="A8" s="8">
        <v>3</v>
      </c>
      <c r="B8" s="33">
        <v>3</v>
      </c>
      <c r="C8" s="51">
        <v>46084</v>
      </c>
      <c r="D8" s="33"/>
      <c r="E8" s="8"/>
      <c r="F8" s="33">
        <v>300</v>
      </c>
      <c r="G8" s="8" t="s">
        <v>167</v>
      </c>
      <c r="H8" s="2"/>
      <c r="I8" s="2"/>
      <c r="J8" s="2"/>
      <c r="K8" s="2"/>
      <c r="L8" s="2"/>
      <c r="M8" s="2"/>
    </row>
    <row r="9" spans="1:17" ht="18.75" x14ac:dyDescent="0.3">
      <c r="A9" s="8">
        <v>4</v>
      </c>
      <c r="B9" s="33">
        <v>4</v>
      </c>
      <c r="C9" s="51">
        <v>45384</v>
      </c>
      <c r="D9" s="33"/>
      <c r="E9" s="8"/>
      <c r="F9" s="33">
        <v>300</v>
      </c>
      <c r="G9" s="8" t="s">
        <v>168</v>
      </c>
      <c r="H9" s="2"/>
      <c r="I9" s="2"/>
      <c r="J9" s="2"/>
      <c r="K9" s="2"/>
      <c r="L9" s="2"/>
      <c r="M9" s="2"/>
    </row>
    <row r="10" spans="1:17" ht="18.75" x14ac:dyDescent="0.3">
      <c r="A10" s="8">
        <v>5</v>
      </c>
      <c r="B10" s="33">
        <v>5</v>
      </c>
      <c r="C10" s="51">
        <v>45413</v>
      </c>
      <c r="D10" s="33"/>
      <c r="E10" s="8"/>
      <c r="F10" s="33">
        <v>300</v>
      </c>
      <c r="G10" s="8" t="s">
        <v>169</v>
      </c>
      <c r="H10" s="2"/>
      <c r="I10" s="2"/>
      <c r="J10" s="2"/>
      <c r="K10" s="2"/>
      <c r="L10" s="2"/>
      <c r="M10" s="2"/>
    </row>
    <row r="11" spans="1:17" ht="18.75" x14ac:dyDescent="0.3">
      <c r="A11" s="8">
        <v>6</v>
      </c>
      <c r="B11" s="33">
        <v>6</v>
      </c>
      <c r="C11" s="51">
        <v>45444</v>
      </c>
      <c r="D11" s="33"/>
      <c r="E11" s="8"/>
      <c r="F11" s="33">
        <v>300</v>
      </c>
      <c r="G11" s="8" t="s">
        <v>170</v>
      </c>
      <c r="H11" s="2"/>
      <c r="I11" s="2"/>
      <c r="J11" s="2"/>
      <c r="K11" s="2"/>
      <c r="L11" s="2"/>
      <c r="M11" s="2"/>
    </row>
    <row r="12" spans="1:17" ht="18.75" x14ac:dyDescent="0.3">
      <c r="A12" s="8">
        <v>7</v>
      </c>
      <c r="B12" s="33">
        <v>7</v>
      </c>
      <c r="C12" s="51">
        <v>45474</v>
      </c>
      <c r="D12" s="33"/>
      <c r="E12" s="8"/>
      <c r="F12" s="33">
        <v>300</v>
      </c>
      <c r="G12" s="8" t="s">
        <v>171</v>
      </c>
      <c r="H12" s="2"/>
      <c r="I12" s="2"/>
      <c r="J12" s="2"/>
      <c r="K12" s="2"/>
      <c r="L12" s="2"/>
      <c r="M12" s="2"/>
    </row>
    <row r="13" spans="1:17" ht="18.75" x14ac:dyDescent="0.3">
      <c r="A13" s="8">
        <v>8</v>
      </c>
      <c r="B13" s="33">
        <v>8</v>
      </c>
      <c r="C13" s="51">
        <v>46247</v>
      </c>
      <c r="D13" s="33"/>
      <c r="E13" s="8"/>
      <c r="F13" s="33">
        <v>300</v>
      </c>
      <c r="G13" s="8" t="s">
        <v>172</v>
      </c>
      <c r="H13" s="2"/>
      <c r="I13" s="2"/>
      <c r="J13" s="2"/>
      <c r="K13" s="2"/>
      <c r="L13" s="2"/>
      <c r="M13" s="2"/>
    </row>
    <row r="14" spans="1:17" ht="18.75" x14ac:dyDescent="0.3">
      <c r="A14" s="8">
        <v>9</v>
      </c>
      <c r="B14" s="33">
        <v>9</v>
      </c>
      <c r="C14" s="63">
        <v>46267</v>
      </c>
      <c r="D14" s="33"/>
      <c r="E14" s="8"/>
      <c r="F14" s="33">
        <v>300</v>
      </c>
      <c r="G14" s="8" t="s">
        <v>173</v>
      </c>
      <c r="H14" s="2"/>
      <c r="I14" s="2"/>
      <c r="J14" s="2"/>
      <c r="K14" s="2"/>
      <c r="L14" s="2"/>
      <c r="M14" s="2"/>
    </row>
    <row r="15" spans="1:17" ht="18.75" x14ac:dyDescent="0.3">
      <c r="A15" s="8">
        <v>10</v>
      </c>
      <c r="B15" s="33">
        <v>10</v>
      </c>
      <c r="C15" s="51">
        <v>45567</v>
      </c>
      <c r="D15" s="33"/>
      <c r="E15" s="8"/>
      <c r="F15" s="33">
        <v>300</v>
      </c>
      <c r="G15" s="8" t="s">
        <v>174</v>
      </c>
      <c r="H15" s="2"/>
      <c r="I15" s="2"/>
      <c r="J15" s="2"/>
      <c r="K15" s="2"/>
      <c r="L15" s="2"/>
      <c r="M15" s="2"/>
    </row>
    <row r="16" spans="1:17" ht="18.75" x14ac:dyDescent="0.3">
      <c r="A16" s="8">
        <v>11</v>
      </c>
      <c r="B16" s="33">
        <v>11</v>
      </c>
      <c r="C16" s="51">
        <v>45597</v>
      </c>
      <c r="D16" s="33"/>
      <c r="E16" s="8"/>
      <c r="F16" s="33">
        <v>300</v>
      </c>
      <c r="G16" s="8" t="s">
        <v>175</v>
      </c>
      <c r="H16" s="2"/>
      <c r="I16" s="2"/>
      <c r="J16" s="2"/>
      <c r="K16" s="2"/>
      <c r="L16" s="2"/>
      <c r="M16" s="2"/>
    </row>
    <row r="17" spans="1:13" ht="18.75" x14ac:dyDescent="0.3">
      <c r="A17" s="8">
        <v>12</v>
      </c>
      <c r="B17" s="33">
        <v>12</v>
      </c>
      <c r="C17" s="51">
        <v>46358</v>
      </c>
      <c r="D17" s="33"/>
      <c r="E17" s="8"/>
      <c r="F17" s="33">
        <v>300</v>
      </c>
      <c r="G17" s="8" t="s">
        <v>158</v>
      </c>
      <c r="H17" s="2"/>
      <c r="I17" s="2"/>
      <c r="J17" s="2"/>
      <c r="K17" s="2"/>
      <c r="L17" s="2"/>
      <c r="M17" s="2"/>
    </row>
    <row r="18" spans="1:13" ht="18.75" x14ac:dyDescent="0.3">
      <c r="A18" s="8"/>
      <c r="B18" s="8"/>
      <c r="C18" s="51"/>
      <c r="D18" s="33"/>
      <c r="E18" s="8"/>
      <c r="F18" s="33"/>
      <c r="G18" s="8"/>
      <c r="H18" s="2"/>
      <c r="I18" s="2"/>
      <c r="J18" s="2"/>
      <c r="K18" s="2"/>
      <c r="L18" s="2"/>
      <c r="M18" s="2"/>
    </row>
    <row r="19" spans="1:13" ht="18.75" x14ac:dyDescent="0.3">
      <c r="A19" s="8"/>
      <c r="B19" s="8"/>
      <c r="C19" s="51"/>
      <c r="D19" s="33"/>
      <c r="E19" s="8"/>
      <c r="F19" s="33"/>
      <c r="G19" s="8"/>
      <c r="H19" s="2"/>
      <c r="I19" s="2"/>
      <c r="J19" s="2"/>
      <c r="K19" s="2"/>
      <c r="L19" s="2"/>
      <c r="M19" s="2"/>
    </row>
    <row r="20" spans="1:13" ht="18.75" x14ac:dyDescent="0.3">
      <c r="A20" s="8"/>
      <c r="B20" s="8"/>
      <c r="C20" s="51"/>
      <c r="D20" s="33"/>
      <c r="E20" s="8"/>
      <c r="F20" s="33"/>
      <c r="G20" s="8"/>
      <c r="H20" s="2"/>
      <c r="I20" s="2"/>
      <c r="J20" s="2"/>
      <c r="K20" s="2"/>
      <c r="L20" s="2"/>
      <c r="M20" s="2"/>
    </row>
    <row r="21" spans="1:13" ht="18.75" x14ac:dyDescent="0.3">
      <c r="A21" s="8"/>
      <c r="B21" s="8"/>
      <c r="C21" s="51"/>
      <c r="D21" s="33"/>
      <c r="E21" s="8"/>
      <c r="F21" s="33"/>
      <c r="G21" s="8"/>
      <c r="H21" s="2"/>
      <c r="I21" s="2"/>
      <c r="J21" s="2"/>
      <c r="K21" s="2"/>
      <c r="L21" s="2"/>
      <c r="M21" s="2"/>
    </row>
    <row r="22" spans="1:13" ht="18.75" x14ac:dyDescent="0.3">
      <c r="A22" s="8"/>
      <c r="B22" s="8"/>
      <c r="C22" s="51"/>
      <c r="D22" s="33"/>
      <c r="E22" s="8"/>
      <c r="F22" s="33"/>
      <c r="G22" s="8"/>
      <c r="H22" s="2"/>
      <c r="I22" s="2"/>
      <c r="J22" s="2"/>
      <c r="K22" s="2"/>
      <c r="L22" s="2"/>
      <c r="M22" s="2"/>
    </row>
    <row r="23" spans="1:13" ht="18.75" x14ac:dyDescent="0.3">
      <c r="A23" s="8"/>
      <c r="B23" s="8"/>
      <c r="C23" s="51"/>
      <c r="D23" s="33"/>
      <c r="E23" s="8"/>
      <c r="F23" s="33"/>
      <c r="G23" s="8"/>
      <c r="H23" s="2"/>
      <c r="I23" s="2"/>
      <c r="J23" s="2"/>
      <c r="K23" s="2"/>
      <c r="L23" s="2"/>
      <c r="M23" s="2"/>
    </row>
    <row r="24" spans="1:13" ht="18.75" x14ac:dyDescent="0.3">
      <c r="A24" s="8"/>
      <c r="B24" s="8"/>
      <c r="C24" s="51"/>
      <c r="D24" s="33"/>
      <c r="E24" s="8"/>
      <c r="F24" s="33"/>
      <c r="G24" s="8"/>
      <c r="H24" s="2"/>
      <c r="I24" s="2"/>
      <c r="J24" s="2"/>
      <c r="K24" s="2"/>
      <c r="L24" s="2"/>
      <c r="M24" s="2"/>
    </row>
    <row r="25" spans="1:13" ht="18.75" x14ac:dyDescent="0.3">
      <c r="A25" s="8"/>
      <c r="B25" s="8"/>
      <c r="C25" s="51"/>
      <c r="D25" s="33"/>
      <c r="E25" s="8"/>
      <c r="F25" s="33"/>
      <c r="G25" s="8"/>
      <c r="H25" s="2"/>
      <c r="I25" s="2"/>
      <c r="J25" s="2"/>
      <c r="K25" s="2"/>
      <c r="L25" s="2"/>
      <c r="M25" s="2"/>
    </row>
    <row r="26" spans="1:13" ht="18.75" x14ac:dyDescent="0.3">
      <c r="A26" s="8"/>
      <c r="B26" s="8"/>
      <c r="C26" s="51"/>
      <c r="D26" s="33"/>
      <c r="E26" s="8"/>
      <c r="F26" s="33"/>
      <c r="G26" s="8"/>
      <c r="H26" s="2"/>
      <c r="I26" s="2"/>
      <c r="J26" s="2"/>
      <c r="K26" s="2"/>
      <c r="L26" s="2"/>
      <c r="M26" s="2"/>
    </row>
    <row r="27" spans="1:13" ht="18.75" x14ac:dyDescent="0.3">
      <c r="A27" s="8"/>
      <c r="B27" s="8"/>
      <c r="C27" s="51"/>
      <c r="D27" s="33"/>
      <c r="E27" s="8"/>
      <c r="F27" s="33"/>
      <c r="G27" s="8"/>
      <c r="H27" s="2"/>
      <c r="I27" s="2"/>
      <c r="J27" s="2"/>
      <c r="K27" s="2"/>
      <c r="L27" s="2"/>
      <c r="M27" s="2"/>
    </row>
    <row r="28" spans="1:13" ht="18.75" x14ac:dyDescent="0.3">
      <c r="A28" s="8"/>
      <c r="B28" s="8"/>
      <c r="C28" s="51"/>
      <c r="D28" s="33"/>
      <c r="E28" s="8"/>
      <c r="F28" s="33"/>
      <c r="G28" s="8"/>
      <c r="H28" s="2"/>
      <c r="I28" s="2"/>
      <c r="J28" s="2"/>
      <c r="K28" s="2"/>
      <c r="L28" s="2"/>
      <c r="M28" s="2"/>
    </row>
    <row r="29" spans="1:13" ht="18.75" x14ac:dyDescent="0.3">
      <c r="A29" s="8"/>
      <c r="B29" s="8"/>
      <c r="C29" s="51"/>
      <c r="D29" s="33"/>
      <c r="E29" s="8"/>
      <c r="F29" s="33"/>
      <c r="G29" s="8"/>
      <c r="H29" s="2"/>
      <c r="I29" s="2"/>
      <c r="J29" s="2"/>
      <c r="K29" s="2"/>
      <c r="L29" s="2"/>
      <c r="M29" s="2"/>
    </row>
    <row r="30" spans="1:13" ht="18.75" x14ac:dyDescent="0.3">
      <c r="A30" s="8"/>
      <c r="B30" s="8"/>
      <c r="C30" s="51"/>
      <c r="D30" s="33"/>
      <c r="E30" s="8"/>
      <c r="F30" s="33"/>
      <c r="G30" s="8"/>
      <c r="H30" s="2"/>
      <c r="I30" s="2"/>
      <c r="J30" s="2"/>
      <c r="K30" s="2"/>
      <c r="L30" s="2"/>
      <c r="M30" s="2"/>
    </row>
    <row r="31" spans="1:13" ht="18.75" x14ac:dyDescent="0.3">
      <c r="A31" s="8"/>
      <c r="B31" s="8"/>
      <c r="C31" s="51"/>
      <c r="D31" s="33"/>
      <c r="E31" s="8"/>
      <c r="F31" s="33"/>
      <c r="G31" s="8"/>
      <c r="H31" s="2"/>
      <c r="I31" s="2"/>
      <c r="J31" s="2"/>
      <c r="K31" s="2"/>
      <c r="L31" s="2"/>
      <c r="M31" s="2"/>
    </row>
    <row r="32" spans="1:13" ht="18.75" x14ac:dyDescent="0.3">
      <c r="A32" s="8"/>
      <c r="B32" s="8"/>
      <c r="C32" s="51"/>
      <c r="D32" s="33"/>
      <c r="E32" s="8"/>
      <c r="F32" s="33"/>
      <c r="G32" s="8"/>
      <c r="H32" s="2"/>
      <c r="I32" s="2"/>
      <c r="J32" s="2"/>
      <c r="K32" s="2"/>
      <c r="L32" s="2"/>
      <c r="M32" s="2"/>
    </row>
    <row r="33" spans="1:13" ht="18.75" x14ac:dyDescent="0.3">
      <c r="A33" s="8"/>
      <c r="B33" s="8"/>
      <c r="C33" s="51"/>
      <c r="D33" s="33"/>
      <c r="E33" s="8"/>
      <c r="F33" s="33"/>
      <c r="G33" s="8"/>
      <c r="H33" s="2"/>
      <c r="I33" s="2"/>
      <c r="J33" s="2"/>
      <c r="K33" s="2"/>
      <c r="L33" s="2"/>
      <c r="M33" s="2"/>
    </row>
    <row r="34" spans="1:13" ht="18.75" x14ac:dyDescent="0.3">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5" x14ac:dyDescent="0.2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7.75" x14ac:dyDescent="0.4">
      <c r="C3" s="1"/>
      <c r="D3" s="18" t="s">
        <v>8</v>
      </c>
      <c r="E3" s="18"/>
      <c r="F3" s="18" t="s">
        <v>18</v>
      </c>
      <c r="G3" s="1"/>
      <c r="H3" s="1"/>
      <c r="I3" s="1"/>
      <c r="J3" s="1"/>
      <c r="K3" s="1"/>
      <c r="L3" s="1"/>
      <c r="M3" s="1"/>
      <c r="N3" s="1"/>
      <c r="O3" s="1"/>
      <c r="P3" s="1"/>
      <c r="Q3" s="1"/>
    </row>
    <row r="4" spans="1:17" ht="18.75" x14ac:dyDescent="0.3">
      <c r="C4" s="10"/>
      <c r="D4" s="11">
        <f>SUM(D6:D2001)</f>
        <v>3600</v>
      </c>
      <c r="E4" s="11"/>
      <c r="F4" s="11">
        <f>SUM(F6:F2001)</f>
        <v>3600</v>
      </c>
    </row>
    <row r="5" spans="1:17" ht="56.25" x14ac:dyDescent="0.25">
      <c r="A5" s="4" t="s">
        <v>7</v>
      </c>
      <c r="B5" s="4" t="s">
        <v>17</v>
      </c>
      <c r="C5" s="6" t="s">
        <v>1</v>
      </c>
      <c r="D5" s="4" t="s">
        <v>2</v>
      </c>
      <c r="E5" s="4" t="s">
        <v>4</v>
      </c>
      <c r="F5" s="4" t="s">
        <v>19</v>
      </c>
      <c r="G5" s="4" t="s">
        <v>4</v>
      </c>
      <c r="H5" s="5"/>
      <c r="I5" s="5"/>
      <c r="J5" s="5"/>
      <c r="K5" s="5"/>
      <c r="L5" s="5"/>
      <c r="M5" s="5"/>
    </row>
    <row r="6" spans="1:17" ht="18.75" x14ac:dyDescent="0.3">
      <c r="A6" s="8">
        <v>1</v>
      </c>
      <c r="B6" s="8">
        <v>1</v>
      </c>
      <c r="C6" s="9">
        <v>46142</v>
      </c>
      <c r="D6" s="8">
        <v>300</v>
      </c>
      <c r="E6" s="8"/>
      <c r="F6" s="8">
        <v>300</v>
      </c>
      <c r="G6" s="8" t="s">
        <v>229</v>
      </c>
      <c r="H6" s="2"/>
      <c r="I6" s="2"/>
      <c r="J6" s="2"/>
      <c r="K6" s="2"/>
      <c r="L6" s="2"/>
      <c r="M6" s="2"/>
    </row>
    <row r="7" spans="1:17" ht="18.75" x14ac:dyDescent="0.3">
      <c r="A7" s="8">
        <v>2</v>
      </c>
      <c r="B7" s="8">
        <v>2</v>
      </c>
      <c r="C7" s="9">
        <v>46142</v>
      </c>
      <c r="D7" s="8">
        <v>300</v>
      </c>
      <c r="E7" s="8"/>
      <c r="F7" s="8">
        <v>300</v>
      </c>
      <c r="G7" s="8" t="s">
        <v>230</v>
      </c>
      <c r="H7" s="2"/>
      <c r="I7" s="2"/>
      <c r="J7" s="2"/>
      <c r="K7" s="2"/>
      <c r="L7" s="2"/>
      <c r="M7" s="2"/>
    </row>
    <row r="8" spans="1:17" ht="18.75" x14ac:dyDescent="0.3">
      <c r="A8" s="8">
        <v>3</v>
      </c>
      <c r="B8" s="8">
        <v>3</v>
      </c>
      <c r="C8" s="9">
        <v>46142</v>
      </c>
      <c r="D8" s="8">
        <v>300</v>
      </c>
      <c r="E8" s="8"/>
      <c r="F8" s="8">
        <v>300</v>
      </c>
      <c r="G8" s="8" t="s">
        <v>100</v>
      </c>
      <c r="H8" s="2"/>
      <c r="I8" s="2"/>
      <c r="J8" s="2"/>
      <c r="K8" s="2"/>
      <c r="L8" s="2"/>
      <c r="M8" s="2"/>
    </row>
    <row r="9" spans="1:17" ht="18.75" x14ac:dyDescent="0.3">
      <c r="A9" s="8">
        <v>4</v>
      </c>
      <c r="B9" s="8">
        <v>4</v>
      </c>
      <c r="C9" s="9">
        <v>46142</v>
      </c>
      <c r="D9" s="8">
        <v>300</v>
      </c>
      <c r="E9" s="8"/>
      <c r="F9" s="8">
        <v>300</v>
      </c>
      <c r="G9" s="8" t="s">
        <v>101</v>
      </c>
      <c r="H9" s="2"/>
      <c r="I9" s="2"/>
      <c r="J9" s="2"/>
      <c r="K9" s="2"/>
      <c r="L9" s="2"/>
      <c r="M9" s="2"/>
    </row>
    <row r="10" spans="1:17" ht="18.75" x14ac:dyDescent="0.3">
      <c r="A10" s="8">
        <v>5</v>
      </c>
      <c r="B10" s="8">
        <v>5</v>
      </c>
      <c r="C10" s="9">
        <v>46142</v>
      </c>
      <c r="D10" s="8">
        <v>300</v>
      </c>
      <c r="E10" s="8"/>
      <c r="F10" s="8">
        <v>300</v>
      </c>
      <c r="G10" s="8" t="s">
        <v>102</v>
      </c>
      <c r="H10" s="2"/>
      <c r="I10" s="2"/>
      <c r="J10" s="2"/>
      <c r="K10" s="2"/>
      <c r="L10" s="2"/>
      <c r="M10" s="2"/>
    </row>
    <row r="11" spans="1:17" ht="18.75" x14ac:dyDescent="0.3">
      <c r="A11" s="8">
        <v>6</v>
      </c>
      <c r="B11" s="8">
        <v>6</v>
      </c>
      <c r="C11" s="9">
        <v>46142</v>
      </c>
      <c r="D11" s="8">
        <v>300</v>
      </c>
      <c r="E11" s="8"/>
      <c r="F11" s="8">
        <v>300</v>
      </c>
      <c r="G11" s="8" t="s">
        <v>103</v>
      </c>
      <c r="H11" s="2"/>
      <c r="I11" s="2"/>
      <c r="J11" s="2"/>
      <c r="K11" s="2"/>
      <c r="L11" s="2"/>
      <c r="M11" s="2"/>
    </row>
    <row r="12" spans="1:17" ht="18.75" x14ac:dyDescent="0.3">
      <c r="A12" s="8">
        <v>7</v>
      </c>
      <c r="B12" s="8">
        <v>7</v>
      </c>
      <c r="C12" s="9">
        <v>46142</v>
      </c>
      <c r="D12" s="8">
        <v>300</v>
      </c>
      <c r="E12" s="8"/>
      <c r="F12" s="8">
        <v>300</v>
      </c>
      <c r="G12" s="8" t="s">
        <v>104</v>
      </c>
      <c r="H12" s="2"/>
      <c r="I12" s="2"/>
      <c r="J12" s="2"/>
      <c r="K12" s="2"/>
      <c r="L12" s="2"/>
      <c r="M12" s="2"/>
    </row>
    <row r="13" spans="1:17" ht="18.75" x14ac:dyDescent="0.3">
      <c r="A13" s="8">
        <v>8</v>
      </c>
      <c r="B13" s="8">
        <v>8</v>
      </c>
      <c r="C13" s="9">
        <v>46142</v>
      </c>
      <c r="D13" s="8">
        <v>300</v>
      </c>
      <c r="E13" s="8"/>
      <c r="F13" s="8">
        <v>300</v>
      </c>
      <c r="G13" s="8" t="s">
        <v>105</v>
      </c>
      <c r="H13" s="2"/>
      <c r="I13" s="2"/>
      <c r="J13" s="2"/>
      <c r="K13" s="2"/>
      <c r="L13" s="2"/>
      <c r="M13" s="2"/>
    </row>
    <row r="14" spans="1:17" ht="18.75" x14ac:dyDescent="0.3">
      <c r="A14" s="8">
        <v>9</v>
      </c>
      <c r="B14" s="8">
        <v>9</v>
      </c>
      <c r="C14" s="9">
        <v>46142</v>
      </c>
      <c r="D14" s="8">
        <v>300</v>
      </c>
      <c r="E14" s="8"/>
      <c r="F14" s="8">
        <v>300</v>
      </c>
      <c r="G14" s="8" t="s">
        <v>106</v>
      </c>
      <c r="H14" s="2"/>
      <c r="I14" s="2"/>
      <c r="J14" s="2"/>
      <c r="K14" s="2"/>
      <c r="L14" s="2"/>
      <c r="M14" s="2"/>
    </row>
    <row r="15" spans="1:17" ht="18.75" x14ac:dyDescent="0.3">
      <c r="A15" s="8">
        <v>10</v>
      </c>
      <c r="B15" s="8">
        <v>10</v>
      </c>
      <c r="C15" s="9">
        <v>46142</v>
      </c>
      <c r="D15" s="8">
        <v>300</v>
      </c>
      <c r="E15" s="8"/>
      <c r="F15" s="8">
        <v>300</v>
      </c>
      <c r="G15" s="8" t="s">
        <v>107</v>
      </c>
      <c r="H15" s="2"/>
      <c r="I15" s="2"/>
      <c r="J15" s="2"/>
      <c r="K15" s="2"/>
      <c r="L15" s="2"/>
      <c r="M15" s="2"/>
    </row>
    <row r="16" spans="1:17" ht="18.75" x14ac:dyDescent="0.3">
      <c r="A16" s="8">
        <v>11</v>
      </c>
      <c r="B16" s="8">
        <v>11</v>
      </c>
      <c r="C16" s="9">
        <v>46142</v>
      </c>
      <c r="D16" s="8">
        <v>300</v>
      </c>
      <c r="E16" s="8"/>
      <c r="F16" s="8">
        <v>300</v>
      </c>
      <c r="G16" s="8" t="s">
        <v>108</v>
      </c>
      <c r="H16" s="2"/>
      <c r="I16" s="2"/>
      <c r="J16" s="2"/>
      <c r="K16" s="2"/>
      <c r="L16" s="2"/>
      <c r="M16" s="2"/>
    </row>
    <row r="17" spans="1:13" ht="18.75" x14ac:dyDescent="0.3">
      <c r="A17" s="8">
        <v>12</v>
      </c>
      <c r="B17" s="8">
        <v>12</v>
      </c>
      <c r="C17" s="9">
        <v>46142</v>
      </c>
      <c r="D17" s="8">
        <v>300</v>
      </c>
      <c r="E17" s="8"/>
      <c r="F17" s="8">
        <v>300</v>
      </c>
      <c r="G17" s="8" t="s">
        <v>109</v>
      </c>
      <c r="H17" s="2"/>
      <c r="I17" s="2"/>
      <c r="J17" s="2"/>
      <c r="K17" s="2" t="s">
        <v>189</v>
      </c>
      <c r="L17" s="2"/>
      <c r="M17" s="2"/>
    </row>
    <row r="18" spans="1:13" ht="18.75" x14ac:dyDescent="0.3">
      <c r="A18" s="8"/>
      <c r="B18" s="8"/>
      <c r="C18" s="9"/>
      <c r="D18" s="8"/>
      <c r="E18" s="8"/>
      <c r="F18" s="8"/>
      <c r="G18" s="8"/>
      <c r="H18" s="2"/>
      <c r="I18" s="2"/>
      <c r="J18" s="2"/>
      <c r="K18" s="2"/>
      <c r="L18" s="2"/>
      <c r="M18" s="2"/>
    </row>
    <row r="19" spans="1:13" ht="18.75" x14ac:dyDescent="0.3">
      <c r="A19" s="8"/>
      <c r="B19" s="8"/>
      <c r="C19" s="9"/>
      <c r="D19" s="8"/>
      <c r="E19" s="8"/>
      <c r="F19" s="8"/>
      <c r="G19" s="8"/>
      <c r="H19" s="2"/>
      <c r="I19" s="2"/>
      <c r="J19" s="2"/>
      <c r="K19" s="2"/>
      <c r="L19" s="2"/>
      <c r="M19" s="2"/>
    </row>
    <row r="20" spans="1:13" ht="18.75" x14ac:dyDescent="0.3">
      <c r="A20" s="8"/>
      <c r="B20" s="8"/>
      <c r="C20" s="9"/>
      <c r="D20" s="8"/>
      <c r="E20" s="8"/>
      <c r="F20" s="8"/>
      <c r="G20" s="8"/>
      <c r="H20" s="2"/>
      <c r="I20" s="2"/>
      <c r="J20" s="2"/>
      <c r="K20" s="2"/>
      <c r="L20" s="2"/>
      <c r="M20" s="2"/>
    </row>
    <row r="21" spans="1:13" ht="18.75" x14ac:dyDescent="0.3">
      <c r="A21" s="8"/>
      <c r="B21" s="8"/>
      <c r="C21" s="9"/>
      <c r="D21" s="8"/>
      <c r="E21" s="8"/>
      <c r="F21" s="8"/>
      <c r="G21" s="8"/>
      <c r="H21" s="2"/>
      <c r="I21" s="2"/>
      <c r="J21" s="2"/>
      <c r="K21" s="2"/>
      <c r="L21" s="2"/>
      <c r="M21" s="2"/>
    </row>
    <row r="22" spans="1:13" ht="18.75" x14ac:dyDescent="0.3">
      <c r="A22" s="8"/>
      <c r="B22" s="8"/>
      <c r="C22" s="9"/>
      <c r="D22" s="8"/>
      <c r="E22" s="8"/>
      <c r="F22" s="8"/>
      <c r="G22" s="8"/>
      <c r="H22" s="2"/>
      <c r="I22" s="2"/>
      <c r="J22" s="2"/>
      <c r="K22" s="2"/>
      <c r="L22" s="2"/>
      <c r="M22" s="2"/>
    </row>
    <row r="23" spans="1:13" ht="18.75" x14ac:dyDescent="0.3">
      <c r="A23" s="8"/>
      <c r="B23" s="8"/>
      <c r="C23" s="9"/>
      <c r="D23" s="8"/>
      <c r="E23" s="8"/>
      <c r="F23" s="8"/>
      <c r="G23" s="8"/>
      <c r="H23" s="2"/>
      <c r="I23" s="2"/>
      <c r="J23" s="2"/>
      <c r="K23" s="2"/>
      <c r="L23" s="2"/>
      <c r="M23" s="2"/>
    </row>
    <row r="24" spans="1:13" ht="18.75" x14ac:dyDescent="0.3">
      <c r="A24" s="8"/>
      <c r="B24" s="8"/>
      <c r="C24" s="9"/>
      <c r="D24" s="8"/>
      <c r="E24" s="8"/>
      <c r="F24" s="8"/>
      <c r="G24" s="8"/>
      <c r="H24" s="2"/>
      <c r="I24" s="2"/>
      <c r="J24" s="2"/>
      <c r="K24" s="2"/>
      <c r="L24" s="2"/>
      <c r="M24" s="2"/>
    </row>
    <row r="25" spans="1:13" ht="18.75" x14ac:dyDescent="0.3">
      <c r="A25" s="8"/>
      <c r="B25" s="8"/>
      <c r="C25" s="9"/>
      <c r="D25" s="8"/>
      <c r="E25" s="8"/>
      <c r="F25" s="8"/>
      <c r="G25" s="8"/>
      <c r="H25" s="2"/>
      <c r="I25" s="2"/>
      <c r="J25" s="2"/>
      <c r="K25" s="2"/>
      <c r="L25" s="2"/>
      <c r="M25" s="2"/>
    </row>
    <row r="26" spans="1:13" ht="18.75" x14ac:dyDescent="0.3">
      <c r="A26" s="8"/>
      <c r="B26" s="8"/>
      <c r="C26" s="9"/>
      <c r="D26" s="8"/>
      <c r="E26" s="8"/>
      <c r="F26" s="8"/>
      <c r="G26" s="8"/>
      <c r="H26" s="2"/>
      <c r="I26" s="2"/>
      <c r="J26" s="2"/>
      <c r="K26" s="2"/>
      <c r="L26" s="2"/>
      <c r="M26" s="2"/>
    </row>
    <row r="27" spans="1:13" ht="18.75" x14ac:dyDescent="0.3">
      <c r="A27" s="8"/>
      <c r="B27" s="8"/>
      <c r="C27" s="9"/>
      <c r="D27" s="8"/>
      <c r="E27" s="8"/>
      <c r="F27" s="8"/>
      <c r="G27" s="8"/>
      <c r="H27" s="2"/>
      <c r="I27" s="2"/>
      <c r="J27" s="2"/>
      <c r="K27" s="2"/>
      <c r="L27" s="2"/>
      <c r="M27" s="2"/>
    </row>
    <row r="28" spans="1:13" ht="18.75" x14ac:dyDescent="0.3">
      <c r="A28" s="8"/>
      <c r="B28" s="8"/>
      <c r="C28" s="9"/>
      <c r="D28" s="8"/>
      <c r="E28" s="8"/>
      <c r="F28" s="8"/>
      <c r="G28" s="8"/>
      <c r="H28" s="2"/>
      <c r="I28" s="2"/>
      <c r="J28" s="2"/>
      <c r="K28" s="2"/>
      <c r="L28" s="2"/>
      <c r="M28" s="2"/>
    </row>
    <row r="29" spans="1:13" ht="18.75" x14ac:dyDescent="0.3">
      <c r="A29" s="8"/>
      <c r="B29" s="8"/>
      <c r="C29" s="9"/>
      <c r="D29" s="8"/>
      <c r="E29" s="8"/>
      <c r="F29" s="8"/>
      <c r="G29" s="8"/>
      <c r="H29" s="2"/>
      <c r="I29" s="2"/>
      <c r="J29" s="2"/>
      <c r="K29" s="2"/>
      <c r="L29" s="2"/>
      <c r="M29" s="2"/>
    </row>
    <row r="30" spans="1:13" ht="18.75" x14ac:dyDescent="0.3">
      <c r="A30" s="8"/>
      <c r="B30" s="8"/>
      <c r="C30" s="9"/>
      <c r="D30" s="8"/>
      <c r="E30" s="8"/>
      <c r="F30" s="8"/>
      <c r="G30" s="8"/>
      <c r="H30" s="2"/>
      <c r="I30" s="2"/>
      <c r="J30" s="2"/>
      <c r="K30" s="2"/>
      <c r="L30" s="2"/>
      <c r="M30" s="2"/>
    </row>
    <row r="31" spans="1:13" ht="18.75" x14ac:dyDescent="0.3">
      <c r="A31" s="8"/>
      <c r="B31" s="8"/>
      <c r="C31" s="9"/>
      <c r="D31" s="8"/>
      <c r="E31" s="8"/>
      <c r="F31" s="8"/>
      <c r="G31" s="8"/>
      <c r="H31" s="2"/>
      <c r="I31" s="2"/>
      <c r="J31" s="2"/>
      <c r="K31" s="2"/>
      <c r="L31" s="2"/>
      <c r="M31" s="2"/>
    </row>
    <row r="32" spans="1:13" ht="18.75" x14ac:dyDescent="0.3">
      <c r="A32" s="8"/>
      <c r="B32" s="8"/>
      <c r="C32" s="9"/>
      <c r="D32" s="8"/>
      <c r="E32" s="8"/>
      <c r="F32" s="8"/>
      <c r="G32" s="8"/>
      <c r="H32" s="2"/>
      <c r="I32" s="2"/>
      <c r="J32" s="2"/>
      <c r="K32" s="2"/>
      <c r="L32" s="2"/>
      <c r="M32" s="2"/>
    </row>
    <row r="33" spans="1:13" ht="18.75" x14ac:dyDescent="0.3">
      <c r="A33" s="8"/>
      <c r="B33" s="8"/>
      <c r="C33" s="9"/>
      <c r="D33" s="8"/>
      <c r="E33" s="8"/>
      <c r="F33" s="8"/>
      <c r="G33" s="8"/>
      <c r="H33" s="2"/>
      <c r="I33" s="2"/>
      <c r="J33" s="2"/>
      <c r="K33" s="2"/>
      <c r="L33" s="2"/>
      <c r="M33" s="2"/>
    </row>
    <row r="34" spans="1:13" ht="18.75" x14ac:dyDescent="0.3">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D6" sqref="D6:D17"/>
    </sheetView>
  </sheetViews>
  <sheetFormatPr defaultRowHeight="15" x14ac:dyDescent="0.25"/>
  <cols>
    <col min="1" max="2" width="4.42578125" style="3" customWidth="1"/>
    <col min="3" max="3" width="14.85546875" style="78" bestFit="1" customWidth="1"/>
    <col min="4" max="4" width="8.28515625" style="82" bestFit="1" customWidth="1"/>
    <col min="5" max="5" width="24.7109375" style="3" bestFit="1" customWidth="1"/>
    <col min="6" max="6" width="9.71093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7.75" x14ac:dyDescent="0.4">
      <c r="C3" s="75"/>
      <c r="D3" s="79" t="s">
        <v>8</v>
      </c>
      <c r="E3" s="18"/>
      <c r="F3" s="18" t="s">
        <v>18</v>
      </c>
      <c r="G3" s="1"/>
      <c r="H3" s="1"/>
      <c r="I3" s="1"/>
      <c r="J3" s="1"/>
      <c r="K3" s="1"/>
      <c r="L3" s="1"/>
      <c r="M3" s="1"/>
      <c r="N3" s="1"/>
      <c r="O3" s="1"/>
      <c r="P3" s="1"/>
      <c r="Q3" s="1"/>
    </row>
    <row r="4" spans="1:17" ht="18.75" x14ac:dyDescent="0.3">
      <c r="C4" s="76"/>
      <c r="D4" s="80">
        <f>SUM(D6:D2001)</f>
        <v>0</v>
      </c>
      <c r="E4" s="11"/>
      <c r="F4" s="11">
        <f>SUM(F6:F2001)</f>
        <v>3600</v>
      </c>
    </row>
    <row r="5" spans="1:17" ht="56.25" x14ac:dyDescent="0.25">
      <c r="A5" s="4" t="s">
        <v>7</v>
      </c>
      <c r="B5" s="4" t="s">
        <v>17</v>
      </c>
      <c r="C5" s="50" t="s">
        <v>1</v>
      </c>
      <c r="D5" s="54" t="s">
        <v>2</v>
      </c>
      <c r="E5" s="4" t="s">
        <v>4</v>
      </c>
      <c r="F5" s="4" t="s">
        <v>19</v>
      </c>
      <c r="G5" s="4" t="s">
        <v>4</v>
      </c>
      <c r="H5" s="5"/>
      <c r="I5" s="5"/>
      <c r="J5" s="5"/>
      <c r="K5" s="5"/>
      <c r="L5" s="5"/>
      <c r="M5" s="5"/>
    </row>
    <row r="6" spans="1:17" ht="18.75" x14ac:dyDescent="0.3">
      <c r="A6" s="8">
        <v>1</v>
      </c>
      <c r="B6" s="8">
        <v>1</v>
      </c>
      <c r="C6" s="77">
        <v>46335</v>
      </c>
      <c r="D6" s="81"/>
      <c r="E6" s="8"/>
      <c r="F6" s="8">
        <v>300</v>
      </c>
      <c r="G6" s="8" t="s">
        <v>229</v>
      </c>
      <c r="H6" s="2"/>
      <c r="I6" s="2"/>
      <c r="J6" s="2"/>
      <c r="K6" s="2"/>
      <c r="L6" s="2"/>
      <c r="M6" s="2"/>
    </row>
    <row r="7" spans="1:17" ht="18.75" x14ac:dyDescent="0.3">
      <c r="A7" s="8">
        <v>2</v>
      </c>
      <c r="B7" s="8"/>
      <c r="C7" s="77">
        <v>46335</v>
      </c>
      <c r="D7" s="81"/>
      <c r="E7" s="8"/>
      <c r="F7" s="8">
        <v>300</v>
      </c>
      <c r="G7" s="8" t="s">
        <v>230</v>
      </c>
      <c r="H7" s="2"/>
      <c r="I7" s="2"/>
      <c r="J7" s="2"/>
      <c r="K7" s="2"/>
      <c r="L7" s="2"/>
      <c r="M7" s="2"/>
    </row>
    <row r="8" spans="1:17" ht="18.75" x14ac:dyDescent="0.3">
      <c r="A8" s="8">
        <v>3</v>
      </c>
      <c r="B8" s="8"/>
      <c r="C8" s="77">
        <v>46335</v>
      </c>
      <c r="D8" s="81"/>
      <c r="E8" s="8"/>
      <c r="F8" s="8">
        <v>300</v>
      </c>
      <c r="G8" s="8" t="s">
        <v>100</v>
      </c>
      <c r="H8" s="2"/>
      <c r="I8" s="2"/>
      <c r="J8" s="2"/>
      <c r="K8" s="2"/>
      <c r="L8" s="2"/>
      <c r="M8" s="2"/>
    </row>
    <row r="9" spans="1:17" ht="18.75" x14ac:dyDescent="0.3">
      <c r="A9" s="8">
        <v>4</v>
      </c>
      <c r="B9" s="8"/>
      <c r="C9" s="77">
        <v>46335</v>
      </c>
      <c r="D9" s="81"/>
      <c r="E9" s="8"/>
      <c r="F9" s="8">
        <v>300</v>
      </c>
      <c r="G9" s="8" t="s">
        <v>101</v>
      </c>
      <c r="H9" s="2"/>
      <c r="I9" s="2"/>
      <c r="J9" s="2"/>
      <c r="K9" s="2"/>
      <c r="L9" s="2"/>
      <c r="M9" s="2"/>
    </row>
    <row r="10" spans="1:17" ht="18.75" x14ac:dyDescent="0.3">
      <c r="A10" s="8">
        <v>5</v>
      </c>
      <c r="B10" s="8"/>
      <c r="C10" s="77">
        <v>46335</v>
      </c>
      <c r="D10" s="81"/>
      <c r="E10" s="8"/>
      <c r="F10" s="8">
        <v>300</v>
      </c>
      <c r="G10" s="8" t="s">
        <v>102</v>
      </c>
      <c r="H10" s="2"/>
      <c r="I10" s="2"/>
      <c r="J10" s="2"/>
      <c r="K10" s="2"/>
      <c r="L10" s="2"/>
      <c r="M10" s="2"/>
    </row>
    <row r="11" spans="1:17" ht="18.75" x14ac:dyDescent="0.3">
      <c r="A11" s="8">
        <v>6</v>
      </c>
      <c r="B11" s="8"/>
      <c r="C11" s="77">
        <v>46335</v>
      </c>
      <c r="D11" s="81"/>
      <c r="E11" s="8"/>
      <c r="F11" s="8">
        <v>300</v>
      </c>
      <c r="G11" s="8" t="s">
        <v>103</v>
      </c>
      <c r="H11" s="2"/>
      <c r="I11" s="2"/>
      <c r="J11" s="2"/>
      <c r="K11" s="2"/>
      <c r="L11" s="2"/>
      <c r="M11" s="2"/>
    </row>
    <row r="12" spans="1:17" ht="18.75" x14ac:dyDescent="0.3">
      <c r="A12" s="8">
        <v>7</v>
      </c>
      <c r="B12" s="8"/>
      <c r="C12" s="77">
        <v>46335</v>
      </c>
      <c r="D12" s="81"/>
      <c r="E12" s="8"/>
      <c r="F12" s="8">
        <v>300</v>
      </c>
      <c r="G12" s="8" t="s">
        <v>104</v>
      </c>
      <c r="H12" s="2"/>
      <c r="I12" s="2"/>
      <c r="J12" s="2"/>
      <c r="K12" s="2"/>
      <c r="L12" s="2"/>
      <c r="M12" s="2"/>
    </row>
    <row r="13" spans="1:17" ht="18.75" x14ac:dyDescent="0.3">
      <c r="A13" s="8">
        <v>8</v>
      </c>
      <c r="B13" s="8"/>
      <c r="C13" s="77">
        <v>46335</v>
      </c>
      <c r="D13" s="81"/>
      <c r="E13" s="8"/>
      <c r="F13" s="8">
        <v>300</v>
      </c>
      <c r="G13" s="8" t="s">
        <v>105</v>
      </c>
      <c r="H13" s="2"/>
      <c r="I13" s="2"/>
      <c r="J13" s="2"/>
      <c r="K13" s="2"/>
      <c r="L13" s="2"/>
      <c r="M13" s="2"/>
    </row>
    <row r="14" spans="1:17" ht="18.75" x14ac:dyDescent="0.3">
      <c r="A14" s="8">
        <v>9</v>
      </c>
      <c r="B14" s="8"/>
      <c r="C14" s="77">
        <v>46335</v>
      </c>
      <c r="D14" s="81"/>
      <c r="E14" s="8"/>
      <c r="F14" s="8">
        <v>300</v>
      </c>
      <c r="G14" s="8" t="s">
        <v>106</v>
      </c>
      <c r="H14" s="2"/>
      <c r="I14" s="2"/>
      <c r="J14" s="2"/>
      <c r="K14" s="2"/>
      <c r="L14" s="2"/>
      <c r="M14" s="2"/>
    </row>
    <row r="15" spans="1:17" ht="18.75" x14ac:dyDescent="0.3">
      <c r="A15" s="8">
        <v>10</v>
      </c>
      <c r="B15" s="8"/>
      <c r="C15" s="77">
        <v>46335</v>
      </c>
      <c r="D15" s="81"/>
      <c r="E15" s="8"/>
      <c r="F15" s="8">
        <v>300</v>
      </c>
      <c r="G15" s="8" t="s">
        <v>107</v>
      </c>
      <c r="H15" s="2"/>
      <c r="I15" s="2"/>
      <c r="J15" s="2"/>
      <c r="K15" s="2"/>
      <c r="L15" s="2"/>
      <c r="M15" s="2"/>
    </row>
    <row r="16" spans="1:17" ht="18.75" x14ac:dyDescent="0.3">
      <c r="A16" s="8">
        <v>11</v>
      </c>
      <c r="B16" s="8"/>
      <c r="C16" s="77">
        <v>46335</v>
      </c>
      <c r="D16" s="81"/>
      <c r="E16" s="8"/>
      <c r="F16" s="8">
        <v>300</v>
      </c>
      <c r="G16" s="8" t="s">
        <v>108</v>
      </c>
      <c r="H16" s="2"/>
      <c r="I16" s="2"/>
      <c r="J16" s="2"/>
      <c r="K16" s="2"/>
      <c r="L16" s="2"/>
      <c r="M16" s="2"/>
    </row>
    <row r="17" spans="1:13" ht="18.75" x14ac:dyDescent="0.3">
      <c r="A17" s="8">
        <v>12</v>
      </c>
      <c r="B17" s="8"/>
      <c r="C17" s="77">
        <v>46335</v>
      </c>
      <c r="D17" s="81"/>
      <c r="E17" s="8"/>
      <c r="F17" s="8">
        <v>300</v>
      </c>
      <c r="G17" s="8" t="s">
        <v>109</v>
      </c>
      <c r="H17" s="2"/>
      <c r="I17" s="2"/>
      <c r="J17" s="2"/>
      <c r="K17" s="2"/>
      <c r="L17" s="2"/>
      <c r="M17" s="2"/>
    </row>
    <row r="18" spans="1:13" ht="18.75" x14ac:dyDescent="0.3">
      <c r="A18" s="8"/>
      <c r="B18" s="8"/>
      <c r="C18" s="77"/>
      <c r="D18" s="81"/>
      <c r="E18" s="8"/>
      <c r="F18" s="8"/>
      <c r="G18" s="8"/>
      <c r="H18" s="2"/>
      <c r="I18" s="2"/>
      <c r="J18" s="2"/>
      <c r="K18" s="2"/>
      <c r="L18" s="2"/>
      <c r="M18" s="2"/>
    </row>
    <row r="19" spans="1:13" ht="18.75" x14ac:dyDescent="0.3">
      <c r="A19" s="8"/>
      <c r="B19" s="8"/>
      <c r="C19" s="77"/>
      <c r="D19" s="81"/>
      <c r="E19" s="8"/>
      <c r="F19" s="8"/>
      <c r="G19" s="8"/>
      <c r="H19" s="2"/>
      <c r="I19" s="2"/>
      <c r="J19" s="2"/>
      <c r="K19" s="2"/>
      <c r="L19" s="2"/>
      <c r="M19" s="2"/>
    </row>
    <row r="20" spans="1:13" ht="18.75" x14ac:dyDescent="0.3">
      <c r="A20" s="8"/>
      <c r="B20" s="8"/>
      <c r="C20" s="77"/>
      <c r="D20" s="81"/>
      <c r="E20" s="8"/>
      <c r="F20" s="8"/>
      <c r="G20" s="8"/>
      <c r="H20" s="2"/>
      <c r="I20" s="2"/>
      <c r="J20" s="2"/>
      <c r="K20" s="2"/>
      <c r="L20" s="2"/>
      <c r="M20" s="2"/>
    </row>
    <row r="21" spans="1:13" ht="18.75" x14ac:dyDescent="0.3">
      <c r="A21" s="8"/>
      <c r="B21" s="8"/>
      <c r="C21" s="77"/>
      <c r="D21" s="81"/>
      <c r="E21" s="8"/>
      <c r="F21" s="8"/>
      <c r="G21" s="8"/>
      <c r="H21" s="2"/>
      <c r="I21" s="2"/>
      <c r="J21" s="2"/>
      <c r="K21" s="2"/>
      <c r="L21" s="2"/>
      <c r="M21" s="2"/>
    </row>
    <row r="22" spans="1:13" ht="18.75" x14ac:dyDescent="0.3">
      <c r="A22" s="8"/>
      <c r="B22" s="8"/>
      <c r="C22" s="77"/>
      <c r="D22" s="81"/>
      <c r="E22" s="8"/>
      <c r="F22" s="8"/>
      <c r="G22" s="8"/>
      <c r="H22" s="2"/>
      <c r="I22" s="2"/>
      <c r="J22" s="2"/>
      <c r="K22" s="2"/>
      <c r="L22" s="2"/>
      <c r="M22" s="2"/>
    </row>
    <row r="23" spans="1:13" ht="18.75" x14ac:dyDescent="0.3">
      <c r="A23" s="8"/>
      <c r="B23" s="8"/>
      <c r="C23" s="77"/>
      <c r="D23" s="81"/>
      <c r="E23" s="8"/>
      <c r="F23" s="8"/>
      <c r="G23" s="8"/>
      <c r="H23" s="2"/>
      <c r="I23" s="2"/>
      <c r="J23" s="2"/>
      <c r="K23" s="2"/>
      <c r="L23" s="2"/>
      <c r="M23" s="2"/>
    </row>
    <row r="24" spans="1:13" ht="18.75" x14ac:dyDescent="0.3">
      <c r="A24" s="8"/>
      <c r="B24" s="8"/>
      <c r="C24" s="77"/>
      <c r="D24" s="81"/>
      <c r="E24" s="8"/>
      <c r="F24" s="8"/>
      <c r="G24" s="8"/>
      <c r="H24" s="2"/>
      <c r="I24" s="2"/>
      <c r="J24" s="2"/>
      <c r="K24" s="2"/>
      <c r="L24" s="2"/>
      <c r="M24" s="2"/>
    </row>
    <row r="25" spans="1:13" ht="18.75" x14ac:dyDescent="0.3">
      <c r="A25" s="8"/>
      <c r="B25" s="8"/>
      <c r="C25" s="77"/>
      <c r="D25" s="81"/>
      <c r="E25" s="8"/>
      <c r="F25" s="8"/>
      <c r="G25" s="8"/>
      <c r="H25" s="2"/>
      <c r="I25" s="2"/>
      <c r="J25" s="2"/>
      <c r="K25" s="2"/>
      <c r="L25" s="2"/>
      <c r="M25" s="2"/>
    </row>
    <row r="26" spans="1:13" ht="18.75" x14ac:dyDescent="0.3">
      <c r="A26" s="8"/>
      <c r="B26" s="8"/>
      <c r="C26" s="77"/>
      <c r="D26" s="81"/>
      <c r="E26" s="8"/>
      <c r="F26" s="8"/>
      <c r="G26" s="8"/>
      <c r="H26" s="2"/>
      <c r="I26" s="2"/>
      <c r="J26" s="2"/>
      <c r="K26" s="2"/>
      <c r="L26" s="2"/>
      <c r="M26" s="2"/>
    </row>
    <row r="27" spans="1:13" ht="18.75" x14ac:dyDescent="0.3">
      <c r="A27" s="8"/>
      <c r="B27" s="8"/>
      <c r="C27" s="77"/>
      <c r="D27" s="81"/>
      <c r="E27" s="8"/>
      <c r="F27" s="8"/>
      <c r="G27" s="8"/>
      <c r="H27" s="2"/>
      <c r="I27" s="2"/>
      <c r="J27" s="2"/>
      <c r="K27" s="2"/>
      <c r="L27" s="2"/>
      <c r="M27" s="2"/>
    </row>
    <row r="28" spans="1:13" ht="18.75" x14ac:dyDescent="0.3">
      <c r="A28" s="8"/>
      <c r="B28" s="8"/>
      <c r="C28" s="77"/>
      <c r="D28" s="81"/>
      <c r="E28" s="8"/>
      <c r="F28" s="8"/>
      <c r="G28" s="8"/>
      <c r="H28" s="2"/>
      <c r="I28" s="2"/>
      <c r="J28" s="2"/>
      <c r="K28" s="2"/>
      <c r="L28" s="2"/>
      <c r="M28" s="2"/>
    </row>
    <row r="29" spans="1:13" ht="18.75" x14ac:dyDescent="0.3">
      <c r="A29" s="8"/>
      <c r="B29" s="8"/>
      <c r="C29" s="77"/>
      <c r="D29" s="81"/>
      <c r="E29" s="8"/>
      <c r="F29" s="8"/>
      <c r="G29" s="8"/>
      <c r="H29" s="2"/>
      <c r="I29" s="2"/>
      <c r="J29" s="2"/>
      <c r="K29" s="2"/>
      <c r="L29" s="2"/>
      <c r="M29" s="2"/>
    </row>
    <row r="30" spans="1:13" ht="18.75" x14ac:dyDescent="0.3">
      <c r="A30" s="8"/>
      <c r="B30" s="8"/>
      <c r="C30" s="77"/>
      <c r="D30" s="81"/>
      <c r="E30" s="8"/>
      <c r="F30" s="8"/>
      <c r="G30" s="8"/>
      <c r="H30" s="2"/>
      <c r="I30" s="2"/>
      <c r="J30" s="2"/>
      <c r="K30" s="2"/>
      <c r="L30" s="2"/>
      <c r="M30" s="2"/>
    </row>
    <row r="31" spans="1:13" ht="18.75" x14ac:dyDescent="0.3">
      <c r="A31" s="8"/>
      <c r="B31" s="8"/>
      <c r="C31" s="77"/>
      <c r="D31" s="81"/>
      <c r="E31" s="8"/>
      <c r="F31" s="8"/>
      <c r="G31" s="8"/>
      <c r="H31" s="2"/>
      <c r="I31" s="2"/>
      <c r="J31" s="2"/>
      <c r="K31" s="2"/>
      <c r="L31" s="2"/>
      <c r="M31" s="2"/>
    </row>
    <row r="32" spans="1:13" ht="18.75" x14ac:dyDescent="0.3">
      <c r="A32" s="8"/>
      <c r="B32" s="8"/>
      <c r="C32" s="77"/>
      <c r="D32" s="81"/>
      <c r="E32" s="8"/>
      <c r="F32" s="8"/>
      <c r="G32" s="8"/>
      <c r="H32" s="2"/>
      <c r="I32" s="2"/>
      <c r="J32" s="2"/>
      <c r="K32" s="2"/>
      <c r="L32" s="2"/>
      <c r="M32" s="2"/>
    </row>
    <row r="33" spans="1:13" ht="18.75" x14ac:dyDescent="0.3">
      <c r="A33" s="8"/>
      <c r="B33" s="8"/>
      <c r="C33" s="77"/>
      <c r="D33" s="81"/>
      <c r="E33" s="8"/>
      <c r="F33" s="8"/>
      <c r="G33" s="8"/>
      <c r="H33" s="2"/>
      <c r="I33" s="2"/>
      <c r="J33" s="2"/>
      <c r="K33" s="2"/>
      <c r="L33" s="2"/>
      <c r="M33" s="2"/>
    </row>
    <row r="34" spans="1:13" ht="18.75" x14ac:dyDescent="0.3">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6" sqref="D6:D17"/>
    </sheetView>
  </sheetViews>
  <sheetFormatPr defaultRowHeight="15" x14ac:dyDescent="0.2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7.75" x14ac:dyDescent="0.4">
      <c r="C3" s="1"/>
      <c r="D3" s="18" t="s">
        <v>8</v>
      </c>
      <c r="E3" s="18"/>
      <c r="F3" s="18" t="s">
        <v>18</v>
      </c>
      <c r="G3" s="1"/>
      <c r="H3" s="1"/>
      <c r="I3" s="1"/>
      <c r="J3" s="1"/>
      <c r="K3" s="1"/>
      <c r="L3" s="1"/>
      <c r="M3" s="1"/>
      <c r="N3" s="1"/>
      <c r="O3" s="1"/>
      <c r="P3" s="1"/>
      <c r="Q3" s="1"/>
    </row>
    <row r="4" spans="1:17" ht="18.75" x14ac:dyDescent="0.3">
      <c r="C4" s="10"/>
      <c r="D4" s="11">
        <f>SUM(D6:D2001)</f>
        <v>0</v>
      </c>
      <c r="E4" s="11"/>
      <c r="F4" s="11">
        <f>SUM(F6:F2001)</f>
        <v>1800</v>
      </c>
    </row>
    <row r="5" spans="1:17" ht="56.25" x14ac:dyDescent="0.25">
      <c r="A5" s="4" t="s">
        <v>7</v>
      </c>
      <c r="B5" s="4" t="s">
        <v>17</v>
      </c>
      <c r="C5" s="6" t="s">
        <v>1</v>
      </c>
      <c r="D5" s="4" t="s">
        <v>2</v>
      </c>
      <c r="E5" s="4" t="s">
        <v>4</v>
      </c>
      <c r="F5" s="4" t="s">
        <v>19</v>
      </c>
      <c r="G5" s="4" t="s">
        <v>4</v>
      </c>
      <c r="H5" s="5"/>
      <c r="I5" s="5"/>
      <c r="J5" s="5"/>
      <c r="K5" s="5"/>
      <c r="L5" s="5"/>
      <c r="M5" s="5"/>
    </row>
    <row r="6" spans="1:17" ht="18.75" x14ac:dyDescent="0.3">
      <c r="A6" s="8">
        <v>1</v>
      </c>
      <c r="B6" s="8">
        <v>1</v>
      </c>
      <c r="C6" s="9">
        <v>45292</v>
      </c>
      <c r="D6" s="8"/>
      <c r="E6" s="8"/>
      <c r="F6" s="8">
        <v>150</v>
      </c>
      <c r="G6" s="8" t="s">
        <v>110</v>
      </c>
      <c r="H6" s="2"/>
      <c r="I6" s="2"/>
      <c r="J6" s="2"/>
      <c r="K6" s="2"/>
      <c r="L6" s="2"/>
      <c r="M6" s="2"/>
    </row>
    <row r="7" spans="1:17" ht="18.75" x14ac:dyDescent="0.3">
      <c r="A7" s="8">
        <v>2</v>
      </c>
      <c r="B7" s="8">
        <v>2</v>
      </c>
      <c r="C7" s="9">
        <v>45322</v>
      </c>
      <c r="D7" s="8"/>
      <c r="E7" s="8"/>
      <c r="F7" s="8">
        <v>150</v>
      </c>
      <c r="G7" s="8" t="s">
        <v>111</v>
      </c>
      <c r="H7" s="2"/>
      <c r="I7" s="2"/>
      <c r="J7" s="2"/>
      <c r="K7" s="2"/>
      <c r="L7" s="2"/>
      <c r="M7" s="2"/>
    </row>
    <row r="8" spans="1:17" ht="18.75" x14ac:dyDescent="0.3">
      <c r="A8" s="8">
        <v>3</v>
      </c>
      <c r="B8" s="8">
        <v>3</v>
      </c>
      <c r="C8" s="63">
        <v>46084</v>
      </c>
      <c r="D8" s="8"/>
      <c r="E8" s="8"/>
      <c r="F8" s="8">
        <v>150</v>
      </c>
      <c r="G8" s="8" t="s">
        <v>155</v>
      </c>
      <c r="H8" s="2"/>
      <c r="I8" s="2"/>
      <c r="J8" s="2"/>
      <c r="K8" s="2"/>
      <c r="L8" s="2"/>
      <c r="M8" s="2"/>
    </row>
    <row r="9" spans="1:17" ht="18.75" x14ac:dyDescent="0.3">
      <c r="A9" s="8">
        <v>4</v>
      </c>
      <c r="B9" s="8">
        <v>4</v>
      </c>
      <c r="C9" s="63">
        <v>45384</v>
      </c>
      <c r="D9" s="8"/>
      <c r="E9" s="8"/>
      <c r="F9" s="8">
        <v>150</v>
      </c>
      <c r="G9" s="8" t="s">
        <v>156</v>
      </c>
      <c r="H9" s="2"/>
      <c r="I9" s="2"/>
      <c r="J9" s="2"/>
      <c r="K9" s="2"/>
      <c r="L9" s="2"/>
      <c r="M9" s="2"/>
    </row>
    <row r="10" spans="1:17" ht="18.75" x14ac:dyDescent="0.3">
      <c r="A10" s="8">
        <v>5</v>
      </c>
      <c r="B10" s="8">
        <v>5</v>
      </c>
      <c r="C10" s="9">
        <v>45413</v>
      </c>
      <c r="D10" s="8"/>
      <c r="E10" s="8"/>
      <c r="F10" s="8">
        <v>150</v>
      </c>
      <c r="G10" s="8" t="s">
        <v>157</v>
      </c>
      <c r="H10" s="2"/>
      <c r="I10" s="2"/>
      <c r="J10" s="2"/>
      <c r="K10" s="2"/>
      <c r="L10" s="2"/>
      <c r="M10" s="2"/>
    </row>
    <row r="11" spans="1:17" ht="18.75" x14ac:dyDescent="0.3">
      <c r="A11" s="8">
        <v>6</v>
      </c>
      <c r="B11" s="8">
        <v>6</v>
      </c>
      <c r="C11" s="9">
        <v>45444</v>
      </c>
      <c r="D11" s="8"/>
      <c r="E11" s="8"/>
      <c r="F11" s="8">
        <v>150</v>
      </c>
      <c r="G11" s="8" t="s">
        <v>170</v>
      </c>
      <c r="H11" s="2"/>
      <c r="I11" s="2"/>
      <c r="J11" s="2"/>
      <c r="K11" s="2"/>
      <c r="L11" s="2"/>
      <c r="M11" s="2"/>
    </row>
    <row r="12" spans="1:17" ht="18.75" x14ac:dyDescent="0.3">
      <c r="A12" s="8">
        <v>7</v>
      </c>
      <c r="B12" s="8">
        <v>7</v>
      </c>
      <c r="C12" s="9">
        <v>45474</v>
      </c>
      <c r="D12" s="8"/>
      <c r="E12" s="8"/>
      <c r="F12" s="8">
        <v>150</v>
      </c>
      <c r="G12" s="8" t="s">
        <v>183</v>
      </c>
      <c r="H12" s="2"/>
      <c r="I12" s="2"/>
      <c r="J12" s="2"/>
      <c r="K12" s="2"/>
      <c r="L12" s="2"/>
      <c r="M12" s="2"/>
    </row>
    <row r="13" spans="1:17" ht="18.75" x14ac:dyDescent="0.3">
      <c r="A13" s="8">
        <v>8</v>
      </c>
      <c r="B13" s="8">
        <v>8</v>
      </c>
      <c r="C13" s="51">
        <v>46247</v>
      </c>
      <c r="D13" s="8"/>
      <c r="E13" s="8"/>
      <c r="F13" s="8">
        <v>150</v>
      </c>
      <c r="G13" s="8" t="s">
        <v>178</v>
      </c>
      <c r="H13" s="2"/>
      <c r="I13" s="2"/>
      <c r="J13" s="2"/>
      <c r="K13" s="2"/>
      <c r="L13" s="2"/>
      <c r="M13" s="2"/>
    </row>
    <row r="14" spans="1:17" ht="18.75" x14ac:dyDescent="0.3">
      <c r="A14" s="8">
        <v>9</v>
      </c>
      <c r="B14" s="8">
        <v>9</v>
      </c>
      <c r="C14" s="63">
        <v>46267</v>
      </c>
      <c r="D14" s="8"/>
      <c r="E14" s="8"/>
      <c r="F14" s="8">
        <v>150</v>
      </c>
      <c r="G14" s="8" t="s">
        <v>179</v>
      </c>
      <c r="H14" s="2"/>
      <c r="I14" s="2"/>
      <c r="J14" s="2"/>
      <c r="K14" s="2"/>
      <c r="L14" s="2"/>
      <c r="M14" s="2"/>
    </row>
    <row r="15" spans="1:17" ht="18.75" x14ac:dyDescent="0.3">
      <c r="A15" s="8">
        <v>10</v>
      </c>
      <c r="B15" s="8">
        <v>10</v>
      </c>
      <c r="C15" s="9">
        <v>45567</v>
      </c>
      <c r="D15" s="8"/>
      <c r="E15" s="8"/>
      <c r="F15" s="8">
        <v>150</v>
      </c>
      <c r="G15" s="8" t="s">
        <v>180</v>
      </c>
      <c r="H15" s="2"/>
      <c r="I15" s="2"/>
      <c r="J15" s="2"/>
      <c r="K15" s="2"/>
      <c r="L15" s="2"/>
      <c r="M15" s="2"/>
    </row>
    <row r="16" spans="1:17" ht="18.75" x14ac:dyDescent="0.3">
      <c r="A16" s="8">
        <v>11</v>
      </c>
      <c r="B16" s="8">
        <v>11</v>
      </c>
      <c r="C16" s="9">
        <v>46335</v>
      </c>
      <c r="D16" s="8"/>
      <c r="E16" s="8"/>
      <c r="F16" s="8">
        <v>150</v>
      </c>
      <c r="G16" s="8" t="s">
        <v>181</v>
      </c>
      <c r="H16" s="2"/>
      <c r="I16" s="2"/>
      <c r="J16" s="2"/>
      <c r="K16" s="2"/>
      <c r="L16" s="2"/>
      <c r="M16" s="2"/>
    </row>
    <row r="17" spans="1:13" ht="18.75" x14ac:dyDescent="0.3">
      <c r="A17" s="8">
        <v>12</v>
      </c>
      <c r="B17" s="8">
        <v>12</v>
      </c>
      <c r="C17" s="9">
        <v>46358</v>
      </c>
      <c r="D17" s="8"/>
      <c r="E17" s="8"/>
      <c r="F17" s="8">
        <v>150</v>
      </c>
      <c r="G17" s="8" t="s">
        <v>182</v>
      </c>
      <c r="H17" s="2"/>
      <c r="I17" s="2"/>
      <c r="J17" s="2"/>
      <c r="K17" s="2"/>
      <c r="L17" s="2"/>
      <c r="M17" s="2"/>
    </row>
    <row r="18" spans="1:13" ht="18.75" x14ac:dyDescent="0.3">
      <c r="A18" s="8"/>
      <c r="B18" s="8"/>
      <c r="C18" s="9"/>
      <c r="D18" s="8"/>
      <c r="E18" s="8"/>
      <c r="F18" s="8"/>
      <c r="G18" s="8"/>
      <c r="H18" s="2"/>
      <c r="I18" s="2"/>
      <c r="J18" s="2"/>
      <c r="K18" s="2"/>
      <c r="L18" s="2"/>
      <c r="M18" s="2"/>
    </row>
    <row r="19" spans="1:13" ht="18.75" x14ac:dyDescent="0.3">
      <c r="A19" s="8"/>
      <c r="B19" s="8"/>
      <c r="C19" s="9"/>
      <c r="D19" s="8"/>
      <c r="E19" s="8"/>
      <c r="F19" s="8"/>
      <c r="G19" s="8"/>
      <c r="H19" s="2"/>
      <c r="I19" s="2"/>
      <c r="J19" s="2"/>
      <c r="K19" s="2"/>
      <c r="L19" s="2"/>
      <c r="M19" s="2"/>
    </row>
    <row r="20" spans="1:13" ht="18.75" x14ac:dyDescent="0.3">
      <c r="A20" s="8"/>
      <c r="B20" s="8"/>
      <c r="C20" s="9"/>
      <c r="D20" s="8"/>
      <c r="E20" s="8"/>
      <c r="F20" s="8"/>
      <c r="G20" s="8"/>
      <c r="H20" s="2"/>
      <c r="I20" s="2"/>
      <c r="J20" s="2"/>
      <c r="K20" s="2"/>
      <c r="L20" s="2"/>
      <c r="M20" s="2"/>
    </row>
    <row r="21" spans="1:13" ht="18.75" x14ac:dyDescent="0.3">
      <c r="A21" s="8"/>
      <c r="B21" s="8"/>
      <c r="C21" s="9"/>
      <c r="D21" s="8"/>
      <c r="E21" s="8"/>
      <c r="F21" s="8"/>
      <c r="G21" s="8"/>
      <c r="H21" s="2"/>
      <c r="I21" s="2"/>
      <c r="J21" s="2"/>
      <c r="K21" s="2"/>
      <c r="L21" s="2"/>
      <c r="M21" s="2"/>
    </row>
    <row r="22" spans="1:13" ht="18.75" x14ac:dyDescent="0.3">
      <c r="A22" s="8"/>
      <c r="B22" s="8"/>
      <c r="C22" s="9"/>
      <c r="D22" s="8"/>
      <c r="E22" s="8"/>
      <c r="F22" s="8"/>
      <c r="G22" s="8"/>
      <c r="H22" s="2"/>
      <c r="I22" s="2"/>
      <c r="J22" s="2"/>
      <c r="K22" s="2"/>
      <c r="L22" s="2"/>
      <c r="M22" s="2"/>
    </row>
    <row r="23" spans="1:13" ht="18.75" x14ac:dyDescent="0.3">
      <c r="A23" s="8"/>
      <c r="B23" s="8"/>
      <c r="C23" s="9"/>
      <c r="D23" s="8"/>
      <c r="E23" s="8"/>
      <c r="F23" s="8"/>
      <c r="G23" s="8"/>
      <c r="H23" s="2"/>
      <c r="I23" s="2"/>
      <c r="J23" s="2"/>
      <c r="K23" s="2"/>
      <c r="L23" s="2"/>
      <c r="M23" s="2"/>
    </row>
    <row r="24" spans="1:13" ht="18.75" x14ac:dyDescent="0.3">
      <c r="A24" s="8"/>
      <c r="B24" s="8"/>
      <c r="C24" s="9"/>
      <c r="D24" s="8"/>
      <c r="E24" s="8"/>
      <c r="F24" s="8"/>
      <c r="G24" s="8"/>
      <c r="H24" s="2"/>
      <c r="I24" s="2"/>
      <c r="J24" s="2"/>
      <c r="K24" s="2"/>
      <c r="L24" s="2"/>
      <c r="M24" s="2"/>
    </row>
    <row r="25" spans="1:13" ht="18.75" x14ac:dyDescent="0.3">
      <c r="A25" s="8"/>
      <c r="B25" s="8"/>
      <c r="C25" s="9"/>
      <c r="D25" s="8"/>
      <c r="E25" s="8"/>
      <c r="F25" s="8"/>
      <c r="G25" s="8"/>
      <c r="H25" s="2"/>
      <c r="I25" s="2"/>
      <c r="J25" s="2"/>
      <c r="K25" s="2"/>
      <c r="L25" s="2"/>
      <c r="M25" s="2"/>
    </row>
    <row r="26" spans="1:13" ht="18.75" x14ac:dyDescent="0.3">
      <c r="A26" s="8"/>
      <c r="B26" s="8"/>
      <c r="C26" s="9"/>
      <c r="D26" s="8"/>
      <c r="E26" s="8"/>
      <c r="F26" s="8"/>
      <c r="G26" s="8"/>
      <c r="H26" s="2"/>
      <c r="I26" s="2"/>
      <c r="J26" s="2"/>
      <c r="K26" s="2"/>
      <c r="L26" s="2"/>
      <c r="M26" s="2"/>
    </row>
    <row r="27" spans="1:13" ht="18.75" x14ac:dyDescent="0.3">
      <c r="A27" s="8"/>
      <c r="B27" s="8"/>
      <c r="C27" s="9"/>
      <c r="D27" s="8"/>
      <c r="E27" s="8"/>
      <c r="F27" s="8"/>
      <c r="G27" s="8"/>
      <c r="H27" s="2"/>
      <c r="I27" s="2"/>
      <c r="J27" s="2"/>
      <c r="K27" s="2"/>
      <c r="L27" s="2"/>
      <c r="M27" s="2"/>
    </row>
    <row r="28" spans="1:13" ht="18.75" x14ac:dyDescent="0.3">
      <c r="A28" s="8"/>
      <c r="B28" s="8"/>
      <c r="C28" s="9"/>
      <c r="D28" s="8"/>
      <c r="E28" s="8"/>
      <c r="F28" s="8"/>
      <c r="G28" s="8"/>
      <c r="H28" s="2"/>
      <c r="I28" s="2"/>
      <c r="J28" s="2"/>
      <c r="K28" s="2"/>
      <c r="L28" s="2"/>
      <c r="M28" s="2"/>
    </row>
    <row r="29" spans="1:13" ht="18.75" x14ac:dyDescent="0.3">
      <c r="A29" s="8"/>
      <c r="B29" s="8"/>
      <c r="C29" s="9"/>
      <c r="D29" s="8"/>
      <c r="E29" s="8"/>
      <c r="F29" s="8"/>
      <c r="G29" s="8"/>
      <c r="H29" s="2"/>
      <c r="I29" s="2"/>
      <c r="J29" s="2"/>
      <c r="K29" s="2"/>
      <c r="L29" s="2"/>
      <c r="M29" s="2"/>
    </row>
    <row r="30" spans="1:13" ht="18.75" x14ac:dyDescent="0.3">
      <c r="A30" s="8"/>
      <c r="B30" s="8"/>
      <c r="C30" s="9"/>
      <c r="D30" s="8"/>
      <c r="E30" s="8"/>
      <c r="F30" s="8"/>
      <c r="G30" s="8"/>
      <c r="H30" s="2"/>
      <c r="I30" s="2"/>
      <c r="J30" s="2"/>
      <c r="K30" s="2"/>
      <c r="L30" s="2"/>
      <c r="M30" s="2"/>
    </row>
    <row r="31" spans="1:13" ht="18.75" x14ac:dyDescent="0.3">
      <c r="A31" s="8"/>
      <c r="B31" s="8"/>
      <c r="C31" s="9"/>
      <c r="D31" s="8"/>
      <c r="E31" s="8"/>
      <c r="F31" s="8"/>
      <c r="G31" s="8"/>
      <c r="H31" s="2"/>
      <c r="I31" s="2"/>
      <c r="J31" s="2"/>
      <c r="K31" s="2"/>
      <c r="L31" s="2"/>
      <c r="M31" s="2"/>
    </row>
    <row r="32" spans="1:13" ht="18.75" x14ac:dyDescent="0.3">
      <c r="A32" s="8"/>
      <c r="B32" s="8"/>
      <c r="C32" s="9"/>
      <c r="D32" s="8"/>
      <c r="E32" s="8"/>
      <c r="F32" s="8"/>
      <c r="G32" s="8"/>
      <c r="H32" s="2"/>
      <c r="I32" s="2"/>
      <c r="J32" s="2"/>
      <c r="K32" s="2"/>
      <c r="L32" s="2"/>
      <c r="M32" s="2"/>
    </row>
    <row r="33" spans="1:13" ht="18.75" x14ac:dyDescent="0.3">
      <c r="A33" s="8"/>
      <c r="B33" s="8"/>
      <c r="C33" s="9"/>
      <c r="D33" s="8"/>
      <c r="E33" s="8"/>
      <c r="F33" s="8"/>
      <c r="G33" s="8"/>
      <c r="H33" s="2"/>
      <c r="I33" s="2"/>
      <c r="J33" s="2"/>
      <c r="K33" s="2"/>
      <c r="L33" s="2"/>
      <c r="M33" s="2"/>
    </row>
    <row r="34" spans="1:13" ht="18.75" x14ac:dyDescent="0.3">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A5" workbookViewId="0">
      <selection activeCell="D6" sqref="D6:D17"/>
    </sheetView>
  </sheetViews>
  <sheetFormatPr defaultRowHeight="15" x14ac:dyDescent="0.25"/>
  <cols>
    <col min="1" max="1" width="4.140625" style="3" bestFit="1" customWidth="1"/>
    <col min="2" max="2" width="5" style="3" customWidth="1"/>
    <col min="3" max="3" width="15.85546875" style="64" customWidth="1"/>
    <col min="4" max="4" width="8.28515625" style="3" bestFit="1" customWidth="1"/>
    <col min="5" max="5" width="24.7109375" style="3" bestFit="1" customWidth="1"/>
    <col min="6" max="6" width="9.71093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7.75" x14ac:dyDescent="0.4">
      <c r="C3" s="1"/>
      <c r="D3" s="18" t="s">
        <v>8</v>
      </c>
      <c r="E3" s="18"/>
      <c r="F3" s="18" t="s">
        <v>18</v>
      </c>
      <c r="G3" s="1"/>
      <c r="H3" s="1"/>
      <c r="I3" s="1"/>
      <c r="J3" s="1"/>
      <c r="K3" s="1"/>
      <c r="L3" s="1"/>
      <c r="M3" s="1"/>
      <c r="N3" s="1"/>
      <c r="O3" s="1"/>
      <c r="P3" s="1"/>
      <c r="Q3" s="1"/>
    </row>
    <row r="4" spans="1:17" ht="18.75" x14ac:dyDescent="0.3">
      <c r="C4" s="62"/>
      <c r="D4" s="11">
        <f>SUM(D6:D2001)</f>
        <v>0</v>
      </c>
      <c r="E4" s="11"/>
      <c r="F4" s="11">
        <f>SUM(F6:F2001)</f>
        <v>1800</v>
      </c>
    </row>
    <row r="5" spans="1:17" ht="56.25" x14ac:dyDescent="0.3">
      <c r="A5" s="4" t="s">
        <v>7</v>
      </c>
      <c r="B5" s="4" t="s">
        <v>17</v>
      </c>
      <c r="C5" s="65" t="s">
        <v>1</v>
      </c>
      <c r="D5" s="4" t="s">
        <v>2</v>
      </c>
      <c r="E5" s="4" t="s">
        <v>4</v>
      </c>
      <c r="F5" s="4" t="s">
        <v>19</v>
      </c>
      <c r="G5" s="4" t="s">
        <v>4</v>
      </c>
      <c r="H5" s="5"/>
      <c r="I5" s="5"/>
      <c r="J5" s="5"/>
      <c r="K5" s="5"/>
      <c r="L5" s="5"/>
      <c r="M5" s="5"/>
    </row>
    <row r="6" spans="1:17" ht="18.75" x14ac:dyDescent="0.3">
      <c r="A6" s="8">
        <v>1</v>
      </c>
      <c r="B6" s="8">
        <v>1</v>
      </c>
      <c r="C6" s="63">
        <v>45292</v>
      </c>
      <c r="D6" s="8"/>
      <c r="E6" s="8"/>
      <c r="F6" s="8">
        <v>150</v>
      </c>
      <c r="G6" s="8" t="s">
        <v>110</v>
      </c>
      <c r="H6" s="2"/>
      <c r="I6" s="2"/>
      <c r="J6" s="2"/>
      <c r="K6" s="2"/>
      <c r="L6" s="2"/>
      <c r="M6" s="2"/>
    </row>
    <row r="7" spans="1:17" ht="18.75" x14ac:dyDescent="0.3">
      <c r="A7" s="8">
        <v>2</v>
      </c>
      <c r="B7" s="8">
        <v>2</v>
      </c>
      <c r="C7" s="63">
        <v>45322</v>
      </c>
      <c r="D7" s="8"/>
      <c r="E7" s="8"/>
      <c r="F7" s="8">
        <v>150</v>
      </c>
      <c r="G7" s="8" t="s">
        <v>111</v>
      </c>
      <c r="H7" s="2"/>
      <c r="I7" s="2"/>
      <c r="J7" s="2"/>
      <c r="K7" s="2"/>
      <c r="L7" s="2"/>
      <c r="M7" s="2"/>
    </row>
    <row r="8" spans="1:17" ht="18.75" x14ac:dyDescent="0.3">
      <c r="A8" s="8">
        <v>3</v>
      </c>
      <c r="B8" s="8">
        <v>3</v>
      </c>
      <c r="C8" s="63">
        <v>46084</v>
      </c>
      <c r="D8" s="8"/>
      <c r="E8" s="8"/>
      <c r="F8" s="8">
        <v>150</v>
      </c>
      <c r="G8" s="8" t="s">
        <v>155</v>
      </c>
      <c r="H8" s="2"/>
      <c r="I8" s="2"/>
      <c r="J8" s="2"/>
      <c r="K8" s="2"/>
      <c r="L8" s="2"/>
      <c r="M8" s="2"/>
    </row>
    <row r="9" spans="1:17" ht="18.75" x14ac:dyDescent="0.3">
      <c r="A9" s="8">
        <v>4</v>
      </c>
      <c r="B9" s="8">
        <v>4</v>
      </c>
      <c r="C9" s="63">
        <v>45384</v>
      </c>
      <c r="D9" s="8"/>
      <c r="E9" s="8"/>
      <c r="F9" s="8">
        <v>150</v>
      </c>
      <c r="G9" s="8" t="s">
        <v>156</v>
      </c>
      <c r="H9" s="2"/>
      <c r="I9" s="2"/>
      <c r="J9" s="2"/>
      <c r="K9" s="2"/>
      <c r="L9" s="2"/>
      <c r="M9" s="2"/>
    </row>
    <row r="10" spans="1:17" ht="18.75" x14ac:dyDescent="0.3">
      <c r="A10" s="8">
        <v>5</v>
      </c>
      <c r="B10" s="8">
        <v>5</v>
      </c>
      <c r="C10" s="63">
        <v>45413</v>
      </c>
      <c r="D10" s="8"/>
      <c r="E10" s="8"/>
      <c r="F10" s="8">
        <v>150</v>
      </c>
      <c r="G10" s="8" t="s">
        <v>157</v>
      </c>
      <c r="H10" s="2"/>
      <c r="I10" s="2"/>
      <c r="J10" s="2"/>
      <c r="K10" s="2"/>
      <c r="L10" s="2"/>
      <c r="M10" s="2"/>
    </row>
    <row r="11" spans="1:17" ht="18.75" x14ac:dyDescent="0.3">
      <c r="A11" s="8">
        <v>6</v>
      </c>
      <c r="B11" s="8">
        <v>6</v>
      </c>
      <c r="C11" s="63">
        <v>45444</v>
      </c>
      <c r="D11" s="8"/>
      <c r="E11" s="8"/>
      <c r="F11" s="8">
        <v>150</v>
      </c>
      <c r="G11" s="8" t="s">
        <v>176</v>
      </c>
      <c r="H11" s="2"/>
      <c r="I11" s="2"/>
      <c r="J11" s="2"/>
      <c r="K11" s="2"/>
      <c r="L11" s="2"/>
      <c r="M11" s="2"/>
    </row>
    <row r="12" spans="1:17" ht="18.75" x14ac:dyDescent="0.3">
      <c r="A12" s="8">
        <v>7</v>
      </c>
      <c r="B12" s="8">
        <v>7</v>
      </c>
      <c r="C12" s="63">
        <v>45474</v>
      </c>
      <c r="D12" s="8"/>
      <c r="E12" s="8"/>
      <c r="F12" s="8">
        <v>150</v>
      </c>
      <c r="G12" s="8" t="s">
        <v>177</v>
      </c>
      <c r="H12" s="2"/>
      <c r="I12" s="2"/>
      <c r="J12" s="2"/>
      <c r="K12" s="2"/>
      <c r="L12" s="2"/>
      <c r="M12" s="2"/>
    </row>
    <row r="13" spans="1:17" ht="18.75" x14ac:dyDescent="0.3">
      <c r="A13" s="8">
        <v>8</v>
      </c>
      <c r="B13" s="8">
        <v>8</v>
      </c>
      <c r="C13" s="51">
        <v>46247</v>
      </c>
      <c r="D13" s="8"/>
      <c r="E13" s="8"/>
      <c r="F13" s="8">
        <v>150</v>
      </c>
      <c r="G13" s="8" t="s">
        <v>178</v>
      </c>
      <c r="H13" s="2"/>
      <c r="I13" s="2"/>
      <c r="J13" s="2"/>
      <c r="K13" s="2"/>
      <c r="L13" s="2"/>
      <c r="M13" s="2"/>
    </row>
    <row r="14" spans="1:17" ht="18.75" x14ac:dyDescent="0.3">
      <c r="A14" s="8">
        <v>9</v>
      </c>
      <c r="B14" s="8">
        <v>9</v>
      </c>
      <c r="C14" s="63">
        <v>46267</v>
      </c>
      <c r="D14" s="8"/>
      <c r="E14" s="8"/>
      <c r="F14" s="8">
        <v>150</v>
      </c>
      <c r="G14" s="8" t="s">
        <v>179</v>
      </c>
      <c r="H14" s="2"/>
      <c r="I14" s="2"/>
      <c r="J14" s="2"/>
      <c r="K14" s="2"/>
      <c r="L14" s="2"/>
      <c r="M14" s="2"/>
    </row>
    <row r="15" spans="1:17" ht="18.75" x14ac:dyDescent="0.3">
      <c r="A15" s="8">
        <v>10</v>
      </c>
      <c r="B15" s="8">
        <v>10</v>
      </c>
      <c r="C15" s="63">
        <v>46297</v>
      </c>
      <c r="D15" s="8"/>
      <c r="E15" s="8"/>
      <c r="F15" s="8">
        <v>150</v>
      </c>
      <c r="G15" s="8" t="s">
        <v>180</v>
      </c>
      <c r="H15" s="2"/>
      <c r="I15" s="2"/>
      <c r="J15" s="2"/>
      <c r="K15" s="2"/>
      <c r="L15" s="2"/>
      <c r="M15" s="2"/>
    </row>
    <row r="16" spans="1:17" ht="18.75" x14ac:dyDescent="0.3">
      <c r="A16" s="8">
        <v>11</v>
      </c>
      <c r="B16" s="8">
        <v>11</v>
      </c>
      <c r="C16" s="63">
        <v>46335</v>
      </c>
      <c r="D16" s="8"/>
      <c r="E16" s="8"/>
      <c r="F16" s="8">
        <v>150</v>
      </c>
      <c r="G16" s="8" t="s">
        <v>181</v>
      </c>
      <c r="H16" s="2"/>
      <c r="I16" s="2"/>
      <c r="J16" s="2"/>
      <c r="K16" s="2"/>
      <c r="L16" s="2"/>
      <c r="M16" s="2"/>
    </row>
    <row r="17" spans="1:13" ht="18.75" x14ac:dyDescent="0.3">
      <c r="A17" s="8">
        <v>12</v>
      </c>
      <c r="B17" s="8">
        <v>12</v>
      </c>
      <c r="C17" s="63">
        <v>46357</v>
      </c>
      <c r="D17" s="8"/>
      <c r="E17" s="8"/>
      <c r="F17" s="8">
        <v>150</v>
      </c>
      <c r="G17" s="8" t="s">
        <v>182</v>
      </c>
      <c r="H17" s="2"/>
      <c r="I17" s="2"/>
      <c r="J17" s="2"/>
      <c r="K17" s="2"/>
      <c r="L17" s="2"/>
      <c r="M17" s="2"/>
    </row>
    <row r="18" spans="1:13" ht="18.75" x14ac:dyDescent="0.3">
      <c r="A18" s="8"/>
      <c r="B18" s="8"/>
      <c r="C18" s="63"/>
      <c r="D18" s="8"/>
      <c r="E18" s="8"/>
      <c r="F18" s="8"/>
      <c r="G18" s="8"/>
      <c r="H18" s="2"/>
      <c r="I18" s="2"/>
      <c r="J18" s="2"/>
      <c r="K18" s="2"/>
      <c r="L18" s="2"/>
      <c r="M18" s="2"/>
    </row>
    <row r="19" spans="1:13" ht="18.75" x14ac:dyDescent="0.3">
      <c r="A19" s="8"/>
      <c r="B19" s="8"/>
      <c r="C19" s="63"/>
      <c r="D19" s="8"/>
      <c r="E19" s="8"/>
      <c r="F19" s="8"/>
      <c r="G19" s="8"/>
      <c r="H19" s="2"/>
      <c r="I19" s="2"/>
      <c r="J19" s="2"/>
      <c r="K19" s="2"/>
      <c r="L19" s="2"/>
      <c r="M19" s="2"/>
    </row>
    <row r="20" spans="1:13" ht="18.75" x14ac:dyDescent="0.3">
      <c r="A20" s="8"/>
      <c r="B20" s="8"/>
      <c r="C20" s="63"/>
      <c r="D20" s="8"/>
      <c r="E20" s="8"/>
      <c r="F20" s="8"/>
      <c r="G20" s="8"/>
      <c r="H20" s="2"/>
      <c r="I20" s="2"/>
      <c r="J20" s="2"/>
      <c r="K20" s="2"/>
      <c r="L20" s="2"/>
      <c r="M20" s="2"/>
    </row>
    <row r="21" spans="1:13" ht="18.75" x14ac:dyDescent="0.3">
      <c r="A21" s="8"/>
      <c r="B21" s="8"/>
      <c r="C21" s="63"/>
      <c r="D21" s="8"/>
      <c r="E21" s="8"/>
      <c r="F21" s="8"/>
      <c r="G21" s="8"/>
      <c r="H21" s="2"/>
      <c r="I21" s="2"/>
      <c r="J21" s="2"/>
      <c r="K21" s="2"/>
      <c r="L21" s="2"/>
      <c r="M21" s="2"/>
    </row>
    <row r="22" spans="1:13" ht="18.75" x14ac:dyDescent="0.3">
      <c r="A22" s="8"/>
      <c r="B22" s="8"/>
      <c r="C22" s="63"/>
      <c r="D22" s="8"/>
      <c r="E22" s="8"/>
      <c r="F22" s="8"/>
      <c r="G22" s="8"/>
      <c r="H22" s="2"/>
      <c r="I22" s="2"/>
      <c r="J22" s="2"/>
      <c r="K22" s="2"/>
      <c r="L22" s="2"/>
      <c r="M22" s="2"/>
    </row>
    <row r="23" spans="1:13" ht="18.75" x14ac:dyDescent="0.3">
      <c r="A23" s="8"/>
      <c r="B23" s="8"/>
      <c r="C23" s="63"/>
      <c r="D23" s="8"/>
      <c r="E23" s="8"/>
      <c r="F23" s="8"/>
      <c r="G23" s="8"/>
      <c r="H23" s="2"/>
      <c r="I23" s="2"/>
      <c r="J23" s="2"/>
      <c r="K23" s="2"/>
      <c r="L23" s="2"/>
      <c r="M23" s="2"/>
    </row>
    <row r="24" spans="1:13" ht="18.75" x14ac:dyDescent="0.3">
      <c r="A24" s="8"/>
      <c r="B24" s="8"/>
      <c r="C24" s="63"/>
      <c r="D24" s="8"/>
      <c r="E24" s="8"/>
      <c r="F24" s="8"/>
      <c r="G24" s="8"/>
      <c r="H24" s="2"/>
      <c r="I24" s="2"/>
      <c r="J24" s="2"/>
      <c r="K24" s="2"/>
      <c r="L24" s="2"/>
      <c r="M24" s="2"/>
    </row>
    <row r="25" spans="1:13" ht="18.75" x14ac:dyDescent="0.3">
      <c r="A25" s="8"/>
      <c r="B25" s="8"/>
      <c r="C25" s="63"/>
      <c r="D25" s="8"/>
      <c r="E25" s="8"/>
      <c r="F25" s="8"/>
      <c r="G25" s="8"/>
      <c r="H25" s="2"/>
      <c r="I25" s="2"/>
      <c r="J25" s="2"/>
      <c r="K25" s="2"/>
      <c r="L25" s="2"/>
      <c r="M25" s="2"/>
    </row>
    <row r="26" spans="1:13" ht="18.75" x14ac:dyDescent="0.3">
      <c r="A26" s="8"/>
      <c r="B26" s="8"/>
      <c r="C26" s="63"/>
      <c r="D26" s="8"/>
      <c r="E26" s="8"/>
      <c r="F26" s="8"/>
      <c r="G26" s="8"/>
      <c r="H26" s="2"/>
      <c r="I26" s="2"/>
      <c r="J26" s="2"/>
      <c r="K26" s="2"/>
      <c r="L26" s="2"/>
      <c r="M26" s="2"/>
    </row>
    <row r="27" spans="1:13" ht="18.75" x14ac:dyDescent="0.3">
      <c r="A27" s="8"/>
      <c r="B27" s="8"/>
      <c r="C27" s="63"/>
      <c r="D27" s="8"/>
      <c r="E27" s="8"/>
      <c r="F27" s="8"/>
      <c r="G27" s="8"/>
      <c r="H27" s="2"/>
      <c r="I27" s="2"/>
      <c r="J27" s="2"/>
      <c r="K27" s="2"/>
      <c r="L27" s="2"/>
      <c r="M27" s="2"/>
    </row>
    <row r="28" spans="1:13" ht="18.75" x14ac:dyDescent="0.3">
      <c r="A28" s="8"/>
      <c r="B28" s="8"/>
      <c r="C28" s="63"/>
      <c r="D28" s="8"/>
      <c r="E28" s="8"/>
      <c r="F28" s="8"/>
      <c r="G28" s="8"/>
      <c r="H28" s="2"/>
      <c r="I28" s="2"/>
      <c r="J28" s="2"/>
      <c r="K28" s="2"/>
      <c r="L28" s="2"/>
      <c r="M28" s="2"/>
    </row>
    <row r="29" spans="1:13" ht="18.75" x14ac:dyDescent="0.3">
      <c r="A29" s="8"/>
      <c r="B29" s="8"/>
      <c r="C29" s="63"/>
      <c r="D29" s="8"/>
      <c r="E29" s="8"/>
      <c r="F29" s="8"/>
      <c r="G29" s="8"/>
      <c r="H29" s="2"/>
      <c r="I29" s="2"/>
      <c r="J29" s="2"/>
      <c r="K29" s="2"/>
      <c r="L29" s="2"/>
      <c r="M29" s="2"/>
    </row>
    <row r="30" spans="1:13" ht="18.75" x14ac:dyDescent="0.3">
      <c r="A30" s="8"/>
      <c r="B30" s="8"/>
      <c r="C30" s="63"/>
      <c r="D30" s="8"/>
      <c r="E30" s="8"/>
      <c r="F30" s="8"/>
      <c r="G30" s="8"/>
      <c r="H30" s="2"/>
      <c r="I30" s="2"/>
      <c r="J30" s="2"/>
      <c r="K30" s="2"/>
      <c r="L30" s="2"/>
      <c r="M30" s="2"/>
    </row>
    <row r="31" spans="1:13" ht="18.75" x14ac:dyDescent="0.3">
      <c r="A31" s="8"/>
      <c r="B31" s="8"/>
      <c r="C31" s="63"/>
      <c r="D31" s="8"/>
      <c r="E31" s="8"/>
      <c r="F31" s="8"/>
      <c r="G31" s="8"/>
      <c r="H31" s="2"/>
      <c r="I31" s="2"/>
      <c r="J31" s="2"/>
      <c r="K31" s="2"/>
      <c r="L31" s="2"/>
      <c r="M31" s="2"/>
    </row>
    <row r="32" spans="1:13" ht="18.75" x14ac:dyDescent="0.3">
      <c r="A32" s="8"/>
      <c r="B32" s="8"/>
      <c r="C32" s="63"/>
      <c r="D32" s="8"/>
      <c r="E32" s="8"/>
      <c r="F32" s="8"/>
      <c r="G32" s="8"/>
      <c r="H32" s="2"/>
      <c r="I32" s="2"/>
      <c r="J32" s="2"/>
      <c r="K32" s="2"/>
      <c r="L32" s="2"/>
      <c r="M32" s="2"/>
    </row>
    <row r="33" spans="1:13" ht="18.75" x14ac:dyDescent="0.3">
      <c r="A33" s="8"/>
      <c r="B33" s="8"/>
      <c r="C33" s="63"/>
      <c r="D33" s="8"/>
      <c r="E33" s="8"/>
      <c r="F33" s="8"/>
      <c r="G33" s="8"/>
      <c r="H33" s="2"/>
      <c r="I33" s="2"/>
      <c r="J33" s="2"/>
      <c r="K33" s="2"/>
      <c r="L33" s="2"/>
      <c r="M33" s="2"/>
    </row>
    <row r="34" spans="1:13" ht="18.75" x14ac:dyDescent="0.3">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A4" workbookViewId="0">
      <selection activeCell="L20" sqref="L20"/>
    </sheetView>
  </sheetViews>
  <sheetFormatPr defaultRowHeight="15" x14ac:dyDescent="0.25"/>
  <cols>
    <col min="1" max="1" width="4.140625" style="66" bestFit="1" customWidth="1"/>
    <col min="2" max="2" width="6.28515625" style="66" customWidth="1"/>
    <col min="3" max="3" width="14.85546875" style="78" bestFit="1" customWidth="1"/>
    <col min="4" max="4" width="8.28515625" style="3" bestFit="1" customWidth="1"/>
    <col min="5" max="5" width="24.7109375" style="3" bestFit="1" customWidth="1"/>
    <col min="6" max="6" width="9.71093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7.75" x14ac:dyDescent="0.4">
      <c r="C3" s="75"/>
      <c r="D3" s="18" t="s">
        <v>8</v>
      </c>
      <c r="E3" s="18"/>
      <c r="F3" s="18" t="s">
        <v>18</v>
      </c>
      <c r="G3" s="1"/>
      <c r="H3" s="1"/>
      <c r="I3" s="1"/>
      <c r="J3" s="1"/>
      <c r="K3" s="1"/>
      <c r="L3" s="1"/>
      <c r="M3" s="1"/>
      <c r="N3" s="1"/>
      <c r="O3" s="1"/>
      <c r="P3" s="1"/>
      <c r="Q3" s="1"/>
    </row>
    <row r="4" spans="1:17" ht="18.75" x14ac:dyDescent="0.3">
      <c r="C4" s="76"/>
      <c r="D4" s="11">
        <f>SUM(D6:D2001)</f>
        <v>75</v>
      </c>
      <c r="E4" s="11"/>
      <c r="F4" s="83">
        <f>SUM(F6:F2001)</f>
        <v>900</v>
      </c>
    </row>
    <row r="5" spans="1:17" ht="56.25" x14ac:dyDescent="0.25">
      <c r="A5" s="4" t="s">
        <v>7</v>
      </c>
      <c r="B5" s="4" t="s">
        <v>17</v>
      </c>
      <c r="C5" s="50" t="s">
        <v>1</v>
      </c>
      <c r="D5" s="4" t="s">
        <v>2</v>
      </c>
      <c r="E5" s="4" t="s">
        <v>4</v>
      </c>
      <c r="F5" s="4" t="s">
        <v>19</v>
      </c>
      <c r="G5" s="4" t="s">
        <v>4</v>
      </c>
      <c r="H5" s="5"/>
      <c r="I5" s="5"/>
      <c r="J5" s="5"/>
      <c r="K5" s="5"/>
      <c r="L5" s="5"/>
      <c r="M5" s="5"/>
    </row>
    <row r="6" spans="1:17" ht="18.75" x14ac:dyDescent="0.3">
      <c r="A6" s="33">
        <v>1</v>
      </c>
      <c r="B6" s="33">
        <v>1</v>
      </c>
      <c r="C6" s="77">
        <v>46073</v>
      </c>
      <c r="D6" s="8">
        <v>75</v>
      </c>
      <c r="E6" s="8"/>
      <c r="F6" s="33">
        <v>75</v>
      </c>
      <c r="G6" s="8" t="s">
        <v>229</v>
      </c>
      <c r="H6" s="2"/>
      <c r="I6" s="2"/>
      <c r="J6" s="2"/>
      <c r="K6" s="2"/>
      <c r="L6" s="2"/>
      <c r="M6" s="2"/>
    </row>
    <row r="7" spans="1:17" ht="18.75" x14ac:dyDescent="0.3">
      <c r="A7" s="33">
        <v>2</v>
      </c>
      <c r="B7" s="33">
        <v>2</v>
      </c>
      <c r="C7" s="77">
        <v>46073</v>
      </c>
      <c r="D7" s="8"/>
      <c r="E7" s="8"/>
      <c r="F7" s="33">
        <v>75</v>
      </c>
      <c r="G7" s="8" t="s">
        <v>230</v>
      </c>
      <c r="H7" s="2"/>
      <c r="I7" s="2"/>
      <c r="J7" s="2"/>
      <c r="K7" s="2"/>
      <c r="L7" s="2"/>
      <c r="M7" s="2"/>
    </row>
    <row r="8" spans="1:17" ht="18.75" x14ac:dyDescent="0.3">
      <c r="A8" s="33">
        <v>3</v>
      </c>
      <c r="B8" s="33">
        <v>3</v>
      </c>
      <c r="C8" s="77">
        <v>46122</v>
      </c>
      <c r="D8" s="8"/>
      <c r="E8" s="8"/>
      <c r="F8" s="33">
        <v>75</v>
      </c>
      <c r="G8" s="8" t="s">
        <v>224</v>
      </c>
      <c r="H8" s="2"/>
      <c r="I8" s="2"/>
      <c r="J8" s="2"/>
      <c r="K8" s="2"/>
      <c r="L8" s="2"/>
      <c r="M8" s="2"/>
    </row>
    <row r="9" spans="1:17" ht="18.75" x14ac:dyDescent="0.3">
      <c r="A9" s="33">
        <v>4</v>
      </c>
      <c r="B9" s="33">
        <v>4</v>
      </c>
      <c r="C9" s="77">
        <v>46122</v>
      </c>
      <c r="D9" s="8"/>
      <c r="E9" s="8"/>
      <c r="F9" s="33">
        <v>75</v>
      </c>
      <c r="G9" s="8" t="s">
        <v>225</v>
      </c>
      <c r="H9" s="2"/>
      <c r="I9" s="2"/>
      <c r="J9" s="2"/>
      <c r="K9" s="2"/>
      <c r="L9" s="2"/>
      <c r="M9" s="2"/>
    </row>
    <row r="10" spans="1:17" ht="18.75" x14ac:dyDescent="0.3">
      <c r="A10" s="33">
        <v>5</v>
      </c>
      <c r="B10" s="33">
        <v>5</v>
      </c>
      <c r="C10" s="77">
        <v>46195</v>
      </c>
      <c r="D10" s="8"/>
      <c r="E10" s="8"/>
      <c r="F10" s="33">
        <v>75</v>
      </c>
      <c r="G10" s="8" t="s">
        <v>226</v>
      </c>
      <c r="H10" s="2"/>
      <c r="I10" s="2"/>
      <c r="J10" s="2"/>
      <c r="K10" s="2"/>
      <c r="L10" s="2"/>
      <c r="M10" s="2"/>
    </row>
    <row r="11" spans="1:17" ht="18.75" x14ac:dyDescent="0.3">
      <c r="A11" s="33">
        <v>6</v>
      </c>
      <c r="B11" s="33">
        <v>6</v>
      </c>
      <c r="C11" s="77">
        <v>46195</v>
      </c>
      <c r="D11" s="8"/>
      <c r="E11" s="8"/>
      <c r="F11" s="33">
        <v>75</v>
      </c>
      <c r="G11" s="8" t="s">
        <v>227</v>
      </c>
      <c r="H11" s="2"/>
      <c r="I11" s="2"/>
      <c r="J11" s="2"/>
      <c r="K11" s="2"/>
      <c r="L11" s="2"/>
      <c r="M11" s="2"/>
    </row>
    <row r="12" spans="1:17" ht="18.75" x14ac:dyDescent="0.3">
      <c r="A12" s="33">
        <v>7</v>
      </c>
      <c r="B12" s="33">
        <v>7</v>
      </c>
      <c r="C12" s="77">
        <v>46266</v>
      </c>
      <c r="D12" s="8"/>
      <c r="E12" s="8"/>
      <c r="F12" s="33">
        <v>75</v>
      </c>
      <c r="G12" s="8" t="s">
        <v>231</v>
      </c>
      <c r="H12" s="2"/>
      <c r="I12" s="2"/>
      <c r="J12" s="2"/>
      <c r="K12" s="2"/>
      <c r="L12" s="2"/>
      <c r="M12" s="2"/>
    </row>
    <row r="13" spans="1:17" ht="18.75" x14ac:dyDescent="0.3">
      <c r="A13" s="33">
        <v>8</v>
      </c>
      <c r="B13" s="33">
        <v>8</v>
      </c>
      <c r="C13" s="77">
        <v>46266</v>
      </c>
      <c r="D13" s="8"/>
      <c r="E13" s="8"/>
      <c r="F13" s="33">
        <v>75</v>
      </c>
      <c r="G13" s="8" t="s">
        <v>232</v>
      </c>
      <c r="H13" s="2"/>
      <c r="I13" s="2"/>
      <c r="J13" s="2"/>
      <c r="K13" s="2"/>
      <c r="L13" s="2"/>
      <c r="M13" s="2"/>
    </row>
    <row r="14" spans="1:17" ht="18.75" x14ac:dyDescent="0.3">
      <c r="A14" s="33">
        <v>9</v>
      </c>
      <c r="B14" s="33">
        <v>9</v>
      </c>
      <c r="C14" s="77">
        <v>46299</v>
      </c>
      <c r="D14" s="8"/>
      <c r="E14" s="8"/>
      <c r="F14" s="33">
        <v>75</v>
      </c>
      <c r="G14" s="8" t="s">
        <v>233</v>
      </c>
      <c r="H14" s="2"/>
      <c r="I14" s="2"/>
      <c r="J14" s="2"/>
      <c r="K14" s="2"/>
      <c r="L14" s="2"/>
      <c r="M14" s="2"/>
    </row>
    <row r="15" spans="1:17" ht="18.75" x14ac:dyDescent="0.3">
      <c r="A15" s="33">
        <v>10</v>
      </c>
      <c r="B15" s="33">
        <v>10</v>
      </c>
      <c r="C15" s="77">
        <v>46299</v>
      </c>
      <c r="D15" s="8"/>
      <c r="E15" s="8"/>
      <c r="F15" s="33">
        <v>75</v>
      </c>
      <c r="G15" s="8" t="s">
        <v>234</v>
      </c>
      <c r="H15" s="2"/>
      <c r="I15" s="2"/>
      <c r="J15" s="2"/>
      <c r="K15" s="2"/>
      <c r="L15" s="2"/>
      <c r="M15" s="2"/>
    </row>
    <row r="16" spans="1:17" ht="18.75" x14ac:dyDescent="0.3">
      <c r="A16" s="33">
        <v>11</v>
      </c>
      <c r="B16" s="33">
        <v>11</v>
      </c>
      <c r="C16" s="77">
        <v>46350</v>
      </c>
      <c r="D16" s="8"/>
      <c r="E16" s="8"/>
      <c r="F16" s="33">
        <v>75</v>
      </c>
      <c r="G16" s="8" t="s">
        <v>235</v>
      </c>
      <c r="H16" s="2"/>
      <c r="I16" s="2"/>
      <c r="J16" s="2"/>
      <c r="K16" s="2"/>
      <c r="L16" s="2"/>
      <c r="M16" s="2"/>
    </row>
    <row r="17" spans="1:13" ht="18.75" x14ac:dyDescent="0.3">
      <c r="A17" s="33">
        <v>12</v>
      </c>
      <c r="B17" s="33">
        <v>12</v>
      </c>
      <c r="C17" s="77">
        <v>46350</v>
      </c>
      <c r="D17" s="8"/>
      <c r="E17" s="8"/>
      <c r="F17" s="33">
        <v>75</v>
      </c>
      <c r="G17" s="8" t="s">
        <v>221</v>
      </c>
      <c r="H17" s="2"/>
      <c r="I17" s="2"/>
      <c r="J17" s="2"/>
      <c r="K17" s="2"/>
      <c r="L17" s="2"/>
      <c r="M17" s="2"/>
    </row>
    <row r="18" spans="1:13" ht="18.75" x14ac:dyDescent="0.3">
      <c r="A18" s="33"/>
      <c r="B18" s="33"/>
      <c r="C18" s="77"/>
      <c r="D18" s="8"/>
      <c r="E18" s="8"/>
      <c r="F18" s="33"/>
      <c r="G18" s="8"/>
      <c r="H18" s="2"/>
      <c r="I18" s="2"/>
      <c r="J18" s="2"/>
      <c r="K18" s="2"/>
      <c r="L18" s="2"/>
      <c r="M18" s="2"/>
    </row>
    <row r="19" spans="1:13" ht="18.75" x14ac:dyDescent="0.3">
      <c r="A19" s="33"/>
      <c r="B19" s="33"/>
      <c r="C19" s="77"/>
      <c r="D19" s="8"/>
      <c r="E19" s="8"/>
      <c r="F19" s="33"/>
      <c r="G19" s="8"/>
      <c r="H19" s="2"/>
      <c r="I19" s="2"/>
      <c r="J19" s="2"/>
      <c r="K19" s="2"/>
      <c r="L19" s="2"/>
      <c r="M19" s="2"/>
    </row>
    <row r="20" spans="1:13" ht="18.75" x14ac:dyDescent="0.3">
      <c r="A20" s="33"/>
      <c r="B20" s="33"/>
      <c r="C20" s="77"/>
      <c r="D20" s="8"/>
      <c r="E20" s="8"/>
      <c r="F20" s="33"/>
      <c r="G20" s="8"/>
      <c r="H20" s="2"/>
      <c r="I20" s="2"/>
      <c r="J20" s="2"/>
      <c r="K20" s="2"/>
      <c r="L20" s="2"/>
      <c r="M20" s="2"/>
    </row>
    <row r="21" spans="1:13" ht="18.75" x14ac:dyDescent="0.3">
      <c r="A21" s="33"/>
      <c r="B21" s="33"/>
      <c r="C21" s="77"/>
      <c r="D21" s="8"/>
      <c r="E21" s="8"/>
      <c r="F21" s="33"/>
      <c r="G21" s="8"/>
      <c r="H21" s="2"/>
      <c r="I21" s="2"/>
      <c r="J21" s="2"/>
      <c r="K21" s="2"/>
      <c r="L21" s="2"/>
      <c r="M21" s="2"/>
    </row>
    <row r="22" spans="1:13" ht="18.75" x14ac:dyDescent="0.3">
      <c r="A22" s="33"/>
      <c r="B22" s="33"/>
      <c r="C22" s="77"/>
      <c r="D22" s="8"/>
      <c r="E22" s="8"/>
      <c r="F22" s="33"/>
      <c r="G22" s="8"/>
      <c r="H22" s="2"/>
      <c r="I22" s="2"/>
      <c r="J22" s="2"/>
      <c r="K22" s="2"/>
      <c r="L22" s="2"/>
      <c r="M22" s="2"/>
    </row>
    <row r="23" spans="1:13" ht="18.75" x14ac:dyDescent="0.3">
      <c r="A23" s="33"/>
      <c r="B23" s="33"/>
      <c r="C23" s="77"/>
      <c r="D23" s="8"/>
      <c r="E23" s="8"/>
      <c r="F23" s="33"/>
      <c r="G23" s="8"/>
      <c r="H23" s="2"/>
      <c r="I23" s="2"/>
      <c r="J23" s="2"/>
      <c r="K23" s="2"/>
      <c r="L23" s="2"/>
      <c r="M23" s="2"/>
    </row>
    <row r="24" spans="1:13" ht="18.75" x14ac:dyDescent="0.3">
      <c r="A24" s="33"/>
      <c r="B24" s="33"/>
      <c r="C24" s="77"/>
      <c r="D24" s="8"/>
      <c r="E24" s="8"/>
      <c r="F24" s="33"/>
      <c r="G24" s="8"/>
      <c r="H24" s="2"/>
      <c r="I24" s="2"/>
      <c r="J24" s="2"/>
      <c r="K24" s="2"/>
      <c r="L24" s="2"/>
      <c r="M24" s="2"/>
    </row>
    <row r="25" spans="1:13" ht="18.75" x14ac:dyDescent="0.3">
      <c r="A25" s="33"/>
      <c r="B25" s="33"/>
      <c r="C25" s="77"/>
      <c r="D25" s="8"/>
      <c r="E25" s="8"/>
      <c r="F25" s="33"/>
      <c r="G25" s="8"/>
      <c r="H25" s="2"/>
      <c r="I25" s="2"/>
      <c r="J25" s="2"/>
      <c r="K25" s="2"/>
      <c r="L25" s="2"/>
      <c r="M25" s="2"/>
    </row>
    <row r="26" spans="1:13" ht="18.75" x14ac:dyDescent="0.3">
      <c r="A26" s="33"/>
      <c r="B26" s="33"/>
      <c r="C26" s="77"/>
      <c r="D26" s="8"/>
      <c r="E26" s="8"/>
      <c r="F26" s="33"/>
      <c r="G26" s="8"/>
      <c r="H26" s="2"/>
      <c r="I26" s="2"/>
      <c r="J26" s="2"/>
      <c r="K26" s="2"/>
      <c r="L26" s="2"/>
      <c r="M26" s="2"/>
    </row>
    <row r="27" spans="1:13" ht="18.75" x14ac:dyDescent="0.3">
      <c r="A27" s="33"/>
      <c r="B27" s="33"/>
      <c r="C27" s="77"/>
      <c r="D27" s="8"/>
      <c r="E27" s="8"/>
      <c r="F27" s="33"/>
      <c r="G27" s="8"/>
      <c r="H27" s="2"/>
      <c r="I27" s="2"/>
      <c r="J27" s="2"/>
      <c r="K27" s="2"/>
      <c r="L27" s="2"/>
      <c r="M27" s="2"/>
    </row>
    <row r="28" spans="1:13" ht="18.75" x14ac:dyDescent="0.3">
      <c r="A28" s="33"/>
      <c r="B28" s="33"/>
      <c r="C28" s="77"/>
      <c r="D28" s="8"/>
      <c r="E28" s="8"/>
      <c r="F28" s="33"/>
      <c r="G28" s="8"/>
      <c r="H28" s="2"/>
      <c r="I28" s="2"/>
      <c r="J28" s="2"/>
      <c r="K28" s="2"/>
      <c r="L28" s="2"/>
      <c r="M28" s="2"/>
    </row>
    <row r="29" spans="1:13" ht="18.75" x14ac:dyDescent="0.3">
      <c r="A29" s="33"/>
      <c r="B29" s="33"/>
      <c r="C29" s="77"/>
      <c r="D29" s="8"/>
      <c r="E29" s="8"/>
      <c r="F29" s="33"/>
      <c r="G29" s="8"/>
      <c r="H29" s="2"/>
      <c r="I29" s="2"/>
      <c r="J29" s="2"/>
      <c r="K29" s="2"/>
      <c r="L29" s="2"/>
      <c r="M29" s="2"/>
    </row>
    <row r="30" spans="1:13" ht="18.75" x14ac:dyDescent="0.3">
      <c r="A30" s="33"/>
      <c r="B30" s="33"/>
      <c r="C30" s="77"/>
      <c r="D30" s="8"/>
      <c r="E30" s="8"/>
      <c r="F30" s="33"/>
      <c r="G30" s="8"/>
      <c r="H30" s="2"/>
      <c r="I30" s="2"/>
      <c r="J30" s="2"/>
      <c r="K30" s="2"/>
      <c r="L30" s="2"/>
      <c r="M30" s="2"/>
    </row>
    <row r="31" spans="1:13" ht="18.75" x14ac:dyDescent="0.3">
      <c r="A31" s="33"/>
      <c r="B31" s="33"/>
      <c r="C31" s="77"/>
      <c r="D31" s="8"/>
      <c r="E31" s="8"/>
      <c r="F31" s="33"/>
      <c r="G31" s="8"/>
      <c r="H31" s="2"/>
      <c r="I31" s="2"/>
      <c r="J31" s="2"/>
      <c r="K31" s="2"/>
      <c r="L31" s="2"/>
      <c r="M31" s="2"/>
    </row>
    <row r="32" spans="1:13" ht="18.75" x14ac:dyDescent="0.3">
      <c r="A32" s="33"/>
      <c r="B32" s="33"/>
      <c r="C32" s="77"/>
      <c r="D32" s="8"/>
      <c r="E32" s="8"/>
      <c r="F32" s="33"/>
      <c r="G32" s="8"/>
      <c r="H32" s="2"/>
      <c r="I32" s="2"/>
      <c r="J32" s="2"/>
      <c r="K32" s="2"/>
      <c r="L32" s="2"/>
      <c r="M32" s="2"/>
    </row>
    <row r="33" spans="1:13" ht="18.75" x14ac:dyDescent="0.3">
      <c r="A33" s="33"/>
      <c r="B33" s="33"/>
      <c r="C33" s="77"/>
      <c r="D33" s="8"/>
      <c r="E33" s="8"/>
      <c r="F33" s="33"/>
      <c r="G33" s="8"/>
      <c r="H33" s="2"/>
      <c r="I33" s="2"/>
      <c r="J33" s="2"/>
      <c r="K33" s="2"/>
      <c r="L33" s="2"/>
      <c r="M33" s="2"/>
    </row>
    <row r="34" spans="1:13" ht="18.75" x14ac:dyDescent="0.3">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5" workbookViewId="0">
      <selection activeCell="C7" sqref="C7"/>
    </sheetView>
  </sheetViews>
  <sheetFormatPr defaultRowHeight="15" x14ac:dyDescent="0.2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7.75" x14ac:dyDescent="0.4">
      <c r="C3" s="1"/>
      <c r="D3" s="18" t="s">
        <v>8</v>
      </c>
      <c r="E3" s="18"/>
      <c r="F3" s="18" t="s">
        <v>18</v>
      </c>
      <c r="G3" s="1"/>
      <c r="H3" s="1"/>
      <c r="I3" s="1"/>
      <c r="J3" s="1"/>
      <c r="K3" s="1"/>
      <c r="L3" s="1"/>
      <c r="M3" s="1"/>
      <c r="N3" s="1"/>
      <c r="O3" s="1"/>
      <c r="P3" s="1"/>
      <c r="Q3" s="1"/>
    </row>
    <row r="4" spans="1:17" ht="18.75" x14ac:dyDescent="0.3">
      <c r="C4" s="10"/>
      <c r="D4" s="11">
        <f>SUM(D6:D2001)</f>
        <v>150</v>
      </c>
      <c r="E4" s="11"/>
      <c r="F4" s="11">
        <f>SUM(F6:F2001)</f>
        <v>1800</v>
      </c>
      <c r="M4" t="s">
        <v>207</v>
      </c>
    </row>
    <row r="5" spans="1:17" ht="56.25" x14ac:dyDescent="0.25">
      <c r="A5" s="4" t="s">
        <v>7</v>
      </c>
      <c r="B5" s="4" t="s">
        <v>17</v>
      </c>
      <c r="C5" s="6" t="s">
        <v>1</v>
      </c>
      <c r="D5" s="4" t="s">
        <v>2</v>
      </c>
      <c r="E5" s="4" t="s">
        <v>4</v>
      </c>
      <c r="F5" s="4" t="s">
        <v>19</v>
      </c>
      <c r="G5" s="4" t="s">
        <v>4</v>
      </c>
      <c r="H5" s="5"/>
      <c r="I5" s="5"/>
      <c r="J5" s="5"/>
      <c r="K5" s="5"/>
      <c r="L5" s="5"/>
      <c r="M5" s="5"/>
    </row>
    <row r="6" spans="1:17" ht="18.75" x14ac:dyDescent="0.3">
      <c r="A6" s="8">
        <v>1</v>
      </c>
      <c r="B6" s="73">
        <v>1</v>
      </c>
      <c r="C6" s="51">
        <v>46037</v>
      </c>
      <c r="D6" s="73">
        <v>150</v>
      </c>
      <c r="E6" s="8"/>
      <c r="F6" s="73">
        <v>150</v>
      </c>
      <c r="G6" s="8" t="s">
        <v>229</v>
      </c>
      <c r="H6" s="2"/>
      <c r="I6" s="2"/>
      <c r="J6" s="2"/>
      <c r="K6" s="2"/>
      <c r="L6" s="2"/>
      <c r="M6" s="2"/>
    </row>
    <row r="7" spans="1:17" ht="18.75" x14ac:dyDescent="0.3">
      <c r="A7" s="8">
        <v>2</v>
      </c>
      <c r="B7" s="73">
        <v>2</v>
      </c>
      <c r="C7" s="51">
        <v>46087</v>
      </c>
      <c r="D7" s="73"/>
      <c r="E7" s="8"/>
      <c r="F7" s="73">
        <v>150</v>
      </c>
      <c r="G7" s="8" t="s">
        <v>230</v>
      </c>
      <c r="H7" s="2"/>
      <c r="I7" s="2"/>
      <c r="J7" s="2"/>
      <c r="K7" s="2"/>
      <c r="L7" s="2"/>
      <c r="M7" s="2"/>
    </row>
    <row r="8" spans="1:17" ht="18.75" x14ac:dyDescent="0.3">
      <c r="A8" s="8">
        <v>3</v>
      </c>
      <c r="B8" s="73">
        <v>3</v>
      </c>
      <c r="C8" s="51">
        <v>46087</v>
      </c>
      <c r="D8" s="73"/>
      <c r="E8" s="8"/>
      <c r="F8" s="73">
        <v>150</v>
      </c>
      <c r="G8" s="8" t="s">
        <v>224</v>
      </c>
      <c r="H8" s="2"/>
      <c r="I8" s="2"/>
      <c r="J8" s="2"/>
      <c r="K8" s="2"/>
      <c r="L8" s="2"/>
      <c r="M8" s="2"/>
    </row>
    <row r="9" spans="1:17" ht="18.75" x14ac:dyDescent="0.3">
      <c r="A9" s="8">
        <v>4</v>
      </c>
      <c r="B9" s="73">
        <v>4</v>
      </c>
      <c r="C9" s="51">
        <v>46222</v>
      </c>
      <c r="D9" s="73"/>
      <c r="E9" s="8"/>
      <c r="F9" s="73">
        <v>150</v>
      </c>
      <c r="G9" s="8" t="s">
        <v>225</v>
      </c>
      <c r="H9" s="2"/>
      <c r="I9" s="2"/>
      <c r="J9" s="2"/>
      <c r="K9" s="2"/>
      <c r="L9" s="2"/>
      <c r="M9" s="2"/>
    </row>
    <row r="10" spans="1:17" ht="18.75" x14ac:dyDescent="0.3">
      <c r="A10" s="8">
        <v>5</v>
      </c>
      <c r="B10" s="73">
        <v>5</v>
      </c>
      <c r="C10" s="51">
        <v>46222</v>
      </c>
      <c r="D10" s="73"/>
      <c r="E10" s="8"/>
      <c r="F10" s="73">
        <v>150</v>
      </c>
      <c r="G10" s="8" t="s">
        <v>226</v>
      </c>
      <c r="H10" s="2"/>
      <c r="I10" s="2"/>
      <c r="J10" s="2"/>
      <c r="K10" s="2"/>
      <c r="L10" s="2"/>
      <c r="M10" s="2"/>
    </row>
    <row r="11" spans="1:17" ht="18.75" x14ac:dyDescent="0.3">
      <c r="A11" s="8">
        <v>6</v>
      </c>
      <c r="B11" s="73">
        <v>6</v>
      </c>
      <c r="C11" s="51">
        <v>46222</v>
      </c>
      <c r="D11" s="73"/>
      <c r="E11" s="8"/>
      <c r="F11" s="73">
        <v>150</v>
      </c>
      <c r="G11" s="8" t="s">
        <v>227</v>
      </c>
      <c r="H11" s="2"/>
      <c r="I11" s="2"/>
      <c r="J11" s="2"/>
      <c r="K11" s="2"/>
      <c r="L11" s="2"/>
      <c r="M11" s="2"/>
    </row>
    <row r="12" spans="1:17" ht="18.75" x14ac:dyDescent="0.3">
      <c r="A12" s="8">
        <v>7</v>
      </c>
      <c r="B12" s="73">
        <v>7</v>
      </c>
      <c r="C12" s="51">
        <v>46222</v>
      </c>
      <c r="D12" s="73"/>
      <c r="E12" s="8"/>
      <c r="F12" s="73">
        <v>150</v>
      </c>
      <c r="G12" s="8" t="s">
        <v>231</v>
      </c>
      <c r="H12" s="2"/>
      <c r="I12" s="2"/>
      <c r="J12" s="2"/>
      <c r="K12" s="2"/>
      <c r="L12" s="2"/>
      <c r="M12" s="2"/>
    </row>
    <row r="13" spans="1:17" ht="18.75" x14ac:dyDescent="0.3">
      <c r="A13" s="8">
        <v>8</v>
      </c>
      <c r="B13" s="73">
        <v>8</v>
      </c>
      <c r="C13" s="51">
        <v>46306</v>
      </c>
      <c r="D13" s="73"/>
      <c r="E13" s="8"/>
      <c r="F13" s="73">
        <v>150</v>
      </c>
      <c r="G13" s="8" t="s">
        <v>232</v>
      </c>
      <c r="H13" s="2"/>
      <c r="I13" s="2"/>
      <c r="J13" s="2"/>
      <c r="K13" s="2"/>
      <c r="L13" s="2"/>
      <c r="M13" s="2"/>
    </row>
    <row r="14" spans="1:17" ht="18.75" x14ac:dyDescent="0.3">
      <c r="A14" s="8">
        <v>9</v>
      </c>
      <c r="B14" s="73">
        <v>9</v>
      </c>
      <c r="C14" s="77">
        <v>46306</v>
      </c>
      <c r="D14" s="73"/>
      <c r="E14" s="8"/>
      <c r="F14" s="73">
        <v>150</v>
      </c>
      <c r="G14" s="8" t="s">
        <v>233</v>
      </c>
      <c r="H14" s="2"/>
      <c r="I14" s="2"/>
      <c r="J14" s="2"/>
      <c r="K14" s="2"/>
      <c r="L14" s="2"/>
      <c r="M14" s="2"/>
    </row>
    <row r="15" spans="1:17" ht="18.75" x14ac:dyDescent="0.3">
      <c r="A15" s="8">
        <v>10</v>
      </c>
      <c r="B15" s="73">
        <v>10</v>
      </c>
      <c r="C15" s="77">
        <v>46360</v>
      </c>
      <c r="D15" s="73"/>
      <c r="E15" s="8"/>
      <c r="F15" s="73">
        <v>150</v>
      </c>
      <c r="G15" s="8" t="s">
        <v>234</v>
      </c>
      <c r="H15" s="2"/>
      <c r="I15" s="2"/>
      <c r="J15" s="2"/>
      <c r="K15" s="2"/>
      <c r="L15" s="2"/>
      <c r="M15" s="2"/>
    </row>
    <row r="16" spans="1:17" ht="18.75" x14ac:dyDescent="0.3">
      <c r="A16" s="8">
        <v>11</v>
      </c>
      <c r="B16" s="73">
        <v>11</v>
      </c>
      <c r="C16" s="77">
        <v>46360</v>
      </c>
      <c r="D16" s="73"/>
      <c r="E16" s="8"/>
      <c r="F16" s="73">
        <v>150</v>
      </c>
      <c r="G16" s="8" t="s">
        <v>235</v>
      </c>
      <c r="H16" s="2"/>
      <c r="I16" s="2"/>
      <c r="J16" s="2"/>
      <c r="K16" s="2"/>
      <c r="L16" s="2"/>
      <c r="M16" s="2"/>
    </row>
    <row r="17" spans="1:13" ht="18.75" x14ac:dyDescent="0.3">
      <c r="A17" s="8">
        <v>12</v>
      </c>
      <c r="B17" s="73">
        <v>12</v>
      </c>
      <c r="C17" s="77">
        <v>46360</v>
      </c>
      <c r="D17" s="73"/>
      <c r="E17" s="8"/>
      <c r="F17" s="73">
        <v>150</v>
      </c>
      <c r="G17" s="8" t="s">
        <v>221</v>
      </c>
      <c r="H17" s="2"/>
      <c r="I17" s="2"/>
      <c r="J17" s="2"/>
      <c r="K17" s="2"/>
      <c r="L17" s="2"/>
      <c r="M17" s="2"/>
    </row>
    <row r="18" spans="1:13" ht="18.75" x14ac:dyDescent="0.3">
      <c r="A18" s="8"/>
      <c r="B18" s="8"/>
      <c r="C18" s="9"/>
      <c r="D18" s="8"/>
      <c r="E18" s="8"/>
      <c r="F18" s="8"/>
      <c r="G18" s="8"/>
      <c r="H18" s="2"/>
      <c r="I18" s="2"/>
      <c r="J18" s="2"/>
      <c r="K18" s="2"/>
      <c r="L18" s="2"/>
      <c r="M18" s="2"/>
    </row>
    <row r="19" spans="1:13" ht="18.75" x14ac:dyDescent="0.3">
      <c r="A19" s="8"/>
      <c r="B19" s="8"/>
      <c r="C19" s="9"/>
      <c r="D19" s="8"/>
      <c r="E19" s="8"/>
      <c r="F19" s="8"/>
      <c r="G19" s="8"/>
      <c r="H19" s="2"/>
      <c r="I19" s="2"/>
      <c r="J19" s="2"/>
      <c r="K19" s="2"/>
      <c r="L19" s="2"/>
      <c r="M19" s="2"/>
    </row>
    <row r="20" spans="1:13" ht="18.75" x14ac:dyDescent="0.3">
      <c r="A20" s="8"/>
      <c r="B20" s="8"/>
      <c r="C20" s="9"/>
      <c r="D20" s="8"/>
      <c r="E20" s="8"/>
      <c r="F20" s="8"/>
      <c r="G20" s="8"/>
      <c r="H20" s="2"/>
      <c r="I20" s="2"/>
      <c r="J20" s="2"/>
      <c r="K20" s="2"/>
      <c r="L20" s="2"/>
      <c r="M20" s="2"/>
    </row>
    <row r="21" spans="1:13" ht="18.75" x14ac:dyDescent="0.3">
      <c r="A21" s="8"/>
      <c r="B21" s="8"/>
      <c r="C21" s="9"/>
      <c r="D21" s="8"/>
      <c r="E21" s="8"/>
      <c r="F21" s="8"/>
      <c r="G21" s="8"/>
      <c r="H21" s="2"/>
      <c r="I21" s="2"/>
      <c r="J21" s="2"/>
      <c r="K21" s="2"/>
      <c r="L21" s="2"/>
      <c r="M21" s="2"/>
    </row>
    <row r="22" spans="1:13" ht="18.75" x14ac:dyDescent="0.3">
      <c r="A22" s="8"/>
      <c r="B22" s="8"/>
      <c r="C22" s="9"/>
      <c r="D22" s="8"/>
      <c r="E22" s="8"/>
      <c r="F22" s="8"/>
      <c r="G22" s="8"/>
      <c r="H22" s="2"/>
      <c r="I22" s="2"/>
      <c r="J22" s="2"/>
      <c r="K22" s="2"/>
      <c r="L22" s="2"/>
      <c r="M22" s="2"/>
    </row>
    <row r="23" spans="1:13" ht="18.75" x14ac:dyDescent="0.3">
      <c r="A23" s="8"/>
      <c r="B23" s="8"/>
      <c r="C23" s="9"/>
      <c r="D23" s="8"/>
      <c r="E23" s="8"/>
      <c r="F23" s="8"/>
      <c r="G23" s="8"/>
      <c r="H23" s="2"/>
      <c r="I23" s="2"/>
      <c r="J23" s="2"/>
      <c r="K23" s="2"/>
      <c r="L23" s="2"/>
      <c r="M23" s="2"/>
    </row>
    <row r="24" spans="1:13" ht="18.75" x14ac:dyDescent="0.3">
      <c r="A24" s="8"/>
      <c r="B24" s="8"/>
      <c r="C24" s="9"/>
      <c r="D24" s="8"/>
      <c r="E24" s="8"/>
      <c r="F24" s="8"/>
      <c r="G24" s="8"/>
      <c r="H24" s="2"/>
      <c r="I24" s="2"/>
      <c r="J24" s="2"/>
      <c r="K24" s="2"/>
      <c r="L24" s="2"/>
      <c r="M24" s="2"/>
    </row>
    <row r="25" spans="1:13" ht="18.75" x14ac:dyDescent="0.3">
      <c r="A25" s="8"/>
      <c r="B25" s="8"/>
      <c r="C25" s="9"/>
      <c r="D25" s="8"/>
      <c r="E25" s="8"/>
      <c r="F25" s="8"/>
      <c r="G25" s="8"/>
      <c r="H25" s="2"/>
      <c r="I25" s="2"/>
      <c r="J25" s="2"/>
      <c r="K25" s="2"/>
      <c r="L25" s="2"/>
      <c r="M25" s="2"/>
    </row>
    <row r="26" spans="1:13" ht="18.75" x14ac:dyDescent="0.3">
      <c r="A26" s="8"/>
      <c r="B26" s="8"/>
      <c r="C26" s="9"/>
      <c r="D26" s="8"/>
      <c r="E26" s="8"/>
      <c r="F26" s="8"/>
      <c r="G26" s="8"/>
      <c r="H26" s="2"/>
      <c r="I26" s="2"/>
      <c r="J26" s="2"/>
      <c r="K26" s="2"/>
      <c r="L26" s="2"/>
      <c r="M26" s="2"/>
    </row>
    <row r="27" spans="1:13" ht="18.75" x14ac:dyDescent="0.3">
      <c r="A27" s="8"/>
      <c r="B27" s="8"/>
      <c r="C27" s="9"/>
      <c r="D27" s="8"/>
      <c r="E27" s="8"/>
      <c r="F27" s="8"/>
      <c r="G27" s="8"/>
      <c r="H27" s="2"/>
      <c r="I27" s="2"/>
      <c r="J27" s="2"/>
      <c r="K27" s="2"/>
      <c r="L27" s="2"/>
      <c r="M27" s="2"/>
    </row>
    <row r="28" spans="1:13" ht="18.75" x14ac:dyDescent="0.3">
      <c r="A28" s="8"/>
      <c r="B28" s="8"/>
      <c r="C28" s="9"/>
      <c r="D28" s="8"/>
      <c r="E28" s="8"/>
      <c r="F28" s="8"/>
      <c r="G28" s="8"/>
      <c r="H28" s="2"/>
      <c r="I28" s="2"/>
      <c r="J28" s="2"/>
      <c r="K28" s="2"/>
      <c r="L28" s="2"/>
      <c r="M28" s="2"/>
    </row>
    <row r="29" spans="1:13" ht="18.75" x14ac:dyDescent="0.3">
      <c r="A29" s="8"/>
      <c r="B29" s="8"/>
      <c r="C29" s="9"/>
      <c r="D29" s="8"/>
      <c r="E29" s="8"/>
      <c r="F29" s="8"/>
      <c r="G29" s="8"/>
      <c r="H29" s="2"/>
      <c r="I29" s="2"/>
      <c r="J29" s="2"/>
      <c r="K29" s="2"/>
      <c r="L29" s="2"/>
      <c r="M29" s="2"/>
    </row>
    <row r="30" spans="1:13" ht="18.75" x14ac:dyDescent="0.3">
      <c r="A30" s="8"/>
      <c r="B30" s="8"/>
      <c r="C30" s="9"/>
      <c r="D30" s="8"/>
      <c r="E30" s="8"/>
      <c r="F30" s="8"/>
      <c r="G30" s="8"/>
      <c r="H30" s="2"/>
      <c r="I30" s="2"/>
      <c r="J30" s="2"/>
      <c r="K30" s="2"/>
      <c r="L30" s="2"/>
      <c r="M30" s="2"/>
    </row>
    <row r="31" spans="1:13" ht="18.75" x14ac:dyDescent="0.3">
      <c r="A31" s="8"/>
      <c r="B31" s="8"/>
      <c r="C31" s="9"/>
      <c r="D31" s="8"/>
      <c r="E31" s="8"/>
      <c r="F31" s="8"/>
      <c r="G31" s="8"/>
      <c r="H31" s="2"/>
      <c r="I31" s="2"/>
      <c r="J31" s="2"/>
      <c r="K31" s="2"/>
      <c r="L31" s="2"/>
      <c r="M31" s="2"/>
    </row>
    <row r="32" spans="1:13" ht="18.75" x14ac:dyDescent="0.3">
      <c r="A32" s="8"/>
      <c r="B32" s="8"/>
      <c r="C32" s="9"/>
      <c r="D32" s="8"/>
      <c r="E32" s="8"/>
      <c r="F32" s="8"/>
      <c r="G32" s="8"/>
      <c r="H32" s="2"/>
      <c r="I32" s="2"/>
      <c r="J32" s="2"/>
      <c r="K32" s="2"/>
      <c r="L32" s="2"/>
      <c r="M32" s="2"/>
    </row>
    <row r="33" spans="1:13" ht="18.75" x14ac:dyDescent="0.3">
      <c r="A33" s="8"/>
      <c r="B33" s="8"/>
      <c r="C33" s="9"/>
      <c r="D33" s="8"/>
      <c r="E33" s="8"/>
      <c r="F33" s="8"/>
      <c r="G33" s="8"/>
      <c r="H33" s="2"/>
      <c r="I33" s="2"/>
      <c r="J33" s="2"/>
      <c r="K33" s="2"/>
      <c r="L33" s="2"/>
      <c r="M33" s="2"/>
    </row>
    <row r="34" spans="1:13" ht="18.75" x14ac:dyDescent="0.3">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workbookViewId="0">
      <selection activeCell="B13" sqref="B13"/>
    </sheetView>
  </sheetViews>
  <sheetFormatPr defaultRowHeight="15" x14ac:dyDescent="0.25"/>
  <cols>
    <col min="1" max="1" width="11" style="3" customWidth="1"/>
    <col min="2" max="2" width="17.42578125" style="52" customWidth="1"/>
    <col min="3" max="3" width="17.42578125" style="56"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75" x14ac:dyDescent="0.3">
      <c r="B4" s="49" t="s">
        <v>9</v>
      </c>
      <c r="C4" s="53">
        <f>SUM(C6:C2000)</f>
        <v>1075</v>
      </c>
    </row>
    <row r="5" spans="1:17" ht="18.75" x14ac:dyDescent="0.25">
      <c r="A5" s="4" t="s">
        <v>7</v>
      </c>
      <c r="B5" s="50" t="s">
        <v>1</v>
      </c>
      <c r="C5" s="54" t="s">
        <v>2</v>
      </c>
      <c r="D5" s="4" t="s">
        <v>5</v>
      </c>
      <c r="E5" s="4" t="s">
        <v>6</v>
      </c>
      <c r="F5" s="4" t="s">
        <v>3</v>
      </c>
      <c r="G5" s="4" t="s">
        <v>4</v>
      </c>
      <c r="H5" s="5"/>
      <c r="I5" s="5"/>
      <c r="J5" s="5"/>
      <c r="K5" s="5"/>
      <c r="L5" s="5"/>
      <c r="M5" s="5"/>
    </row>
    <row r="6" spans="1:17" ht="18.75" x14ac:dyDescent="0.3">
      <c r="A6" s="8">
        <v>1</v>
      </c>
      <c r="B6" s="51">
        <v>46009</v>
      </c>
      <c r="C6" s="55">
        <v>0</v>
      </c>
      <c r="D6" s="8"/>
      <c r="E6" s="8" t="s">
        <v>213</v>
      </c>
      <c r="F6" s="8">
        <v>10</v>
      </c>
      <c r="G6" s="8" t="s">
        <v>242</v>
      </c>
      <c r="H6" s="2"/>
      <c r="I6" s="2"/>
      <c r="J6" s="2"/>
      <c r="K6" s="2"/>
      <c r="L6" s="2"/>
      <c r="M6" s="2"/>
    </row>
    <row r="7" spans="1:17" ht="18.75" x14ac:dyDescent="0.3">
      <c r="A7" s="8">
        <v>2</v>
      </c>
      <c r="B7" s="51">
        <v>46022</v>
      </c>
      <c r="C7" s="55">
        <v>75</v>
      </c>
      <c r="E7" s="8" t="s">
        <v>160</v>
      </c>
      <c r="F7" s="8">
        <v>2</v>
      </c>
      <c r="G7" s="8" t="s">
        <v>243</v>
      </c>
      <c r="H7" s="2"/>
      <c r="I7" s="2"/>
      <c r="J7" s="2"/>
      <c r="K7" s="2"/>
      <c r="L7" s="2"/>
      <c r="M7" s="2"/>
    </row>
    <row r="8" spans="1:17" ht="18.75" x14ac:dyDescent="0.3">
      <c r="A8" s="8">
        <v>3</v>
      </c>
      <c r="B8" s="51">
        <v>46024</v>
      </c>
      <c r="C8" s="55">
        <v>300</v>
      </c>
      <c r="D8" s="8"/>
      <c r="E8" s="8" t="s">
        <v>48</v>
      </c>
      <c r="F8" s="8">
        <v>7</v>
      </c>
      <c r="G8" s="8" t="s">
        <v>244</v>
      </c>
      <c r="H8" s="2"/>
      <c r="I8" s="2"/>
      <c r="J8" s="2"/>
      <c r="K8" s="2"/>
      <c r="L8" s="2"/>
      <c r="M8" s="2"/>
    </row>
    <row r="9" spans="1:17" ht="18.75" x14ac:dyDescent="0.3">
      <c r="A9" s="8">
        <v>4</v>
      </c>
      <c r="B9" s="51">
        <v>46024</v>
      </c>
      <c r="C9" s="55">
        <v>150</v>
      </c>
      <c r="D9" s="8"/>
      <c r="E9" s="8" t="s">
        <v>245</v>
      </c>
      <c r="F9" s="8">
        <v>4</v>
      </c>
      <c r="G9" s="8" t="s">
        <v>244</v>
      </c>
      <c r="H9" s="2"/>
      <c r="I9" s="2"/>
      <c r="J9" s="2"/>
      <c r="K9" s="2"/>
      <c r="L9" s="2"/>
      <c r="M9" s="2"/>
    </row>
    <row r="10" spans="1:17" ht="18.75" x14ac:dyDescent="0.3">
      <c r="A10" s="8">
        <v>5</v>
      </c>
      <c r="B10" s="51">
        <v>46024</v>
      </c>
      <c r="C10" s="55">
        <v>150</v>
      </c>
      <c r="E10" s="8" t="s">
        <v>141</v>
      </c>
      <c r="F10" s="8">
        <v>3</v>
      </c>
      <c r="G10" s="8" t="s">
        <v>244</v>
      </c>
      <c r="H10" s="2"/>
      <c r="I10" s="2"/>
      <c r="J10" s="2"/>
      <c r="K10" s="2"/>
      <c r="L10" s="2"/>
      <c r="M10" s="2"/>
    </row>
    <row r="11" spans="1:17" ht="18.75" x14ac:dyDescent="0.3">
      <c r="A11" s="8">
        <v>6</v>
      </c>
      <c r="B11" s="51">
        <v>46026</v>
      </c>
      <c r="C11" s="55">
        <v>250</v>
      </c>
      <c r="E11" s="8" t="s">
        <v>142</v>
      </c>
      <c r="F11" s="8">
        <v>12</v>
      </c>
      <c r="G11" s="8" t="s">
        <v>222</v>
      </c>
      <c r="H11" s="2"/>
      <c r="I11" s="2"/>
      <c r="J11" s="2"/>
      <c r="M11" s="2"/>
    </row>
    <row r="12" spans="1:17" ht="18.75" x14ac:dyDescent="0.3">
      <c r="A12" s="8">
        <v>7</v>
      </c>
      <c r="B12" s="51">
        <v>46037</v>
      </c>
      <c r="C12" s="55">
        <v>150</v>
      </c>
      <c r="D12" s="8"/>
      <c r="E12" s="8" t="s">
        <v>186</v>
      </c>
      <c r="F12" s="8">
        <v>1</v>
      </c>
      <c r="G12" s="8" t="s">
        <v>229</v>
      </c>
      <c r="H12" s="2"/>
      <c r="I12" s="2"/>
      <c r="J12" s="2"/>
      <c r="M12" s="2"/>
    </row>
    <row r="13" spans="1:17" ht="18.75" x14ac:dyDescent="0.3">
      <c r="A13" s="8">
        <v>8</v>
      </c>
      <c r="B13" s="51"/>
      <c r="C13" s="55"/>
      <c r="D13" s="8"/>
      <c r="E13" s="8"/>
      <c r="F13" s="8"/>
      <c r="G13" s="8"/>
      <c r="H13" s="2"/>
      <c r="I13" s="2"/>
      <c r="J13" s="2"/>
      <c r="M13" s="2"/>
    </row>
    <row r="14" spans="1:17" ht="18.75" x14ac:dyDescent="0.3">
      <c r="A14" s="8">
        <v>9</v>
      </c>
      <c r="B14" s="51"/>
      <c r="C14" s="55"/>
      <c r="D14" s="8"/>
      <c r="E14" s="8"/>
      <c r="F14" s="8"/>
      <c r="G14" s="8"/>
      <c r="H14" s="2"/>
      <c r="I14" s="2"/>
      <c r="J14" s="2"/>
      <c r="K14" s="2"/>
      <c r="L14" s="2"/>
      <c r="M14" s="2"/>
    </row>
    <row r="15" spans="1:17" ht="18.75" x14ac:dyDescent="0.3">
      <c r="A15" s="8">
        <v>10</v>
      </c>
      <c r="B15" s="51"/>
      <c r="C15" s="55"/>
      <c r="E15" s="8"/>
      <c r="F15" s="8"/>
      <c r="G15" s="8"/>
      <c r="H15" s="2"/>
      <c r="I15" s="2"/>
      <c r="J15" s="2"/>
      <c r="K15" s="2"/>
      <c r="L15" s="2"/>
      <c r="M15" s="2"/>
    </row>
    <row r="16" spans="1:17" ht="18.75" x14ac:dyDescent="0.3">
      <c r="A16" s="8">
        <v>11</v>
      </c>
      <c r="B16" s="51"/>
      <c r="C16" s="55"/>
      <c r="E16" s="8"/>
      <c r="F16" s="8"/>
      <c r="G16" s="8"/>
      <c r="H16" s="2"/>
      <c r="I16" s="2"/>
      <c r="J16" s="2"/>
      <c r="K16" s="2"/>
      <c r="L16" s="2"/>
      <c r="M16" s="2"/>
    </row>
    <row r="17" spans="1:13" ht="18.75" x14ac:dyDescent="0.3">
      <c r="A17" s="8">
        <v>12</v>
      </c>
      <c r="B17" s="51"/>
      <c r="C17" s="55"/>
      <c r="D17" s="8"/>
      <c r="E17" s="8"/>
      <c r="F17" s="8"/>
      <c r="G17" s="8"/>
      <c r="H17" s="2"/>
      <c r="I17" s="2"/>
      <c r="J17" s="2"/>
    </row>
    <row r="18" spans="1:13" ht="18.75" x14ac:dyDescent="0.3">
      <c r="A18" s="8">
        <v>13</v>
      </c>
      <c r="B18" s="51"/>
      <c r="C18" s="55"/>
      <c r="D18" s="8"/>
      <c r="E18" s="8"/>
      <c r="F18" s="8"/>
      <c r="G18" s="8"/>
      <c r="H18" s="2"/>
      <c r="I18" s="2"/>
      <c r="J18" s="2"/>
      <c r="K18" s="2"/>
      <c r="L18" s="2"/>
      <c r="M18" s="2"/>
    </row>
    <row r="19" spans="1:13" ht="18.75" x14ac:dyDescent="0.3">
      <c r="A19" s="8">
        <v>14</v>
      </c>
      <c r="B19" s="51"/>
      <c r="C19" s="55"/>
      <c r="D19" s="8"/>
      <c r="E19" s="8"/>
      <c r="F19" s="8"/>
      <c r="G19" s="8"/>
      <c r="H19" s="2"/>
      <c r="I19" s="2"/>
      <c r="J19" s="2"/>
      <c r="K19" s="2"/>
      <c r="L19" s="2"/>
      <c r="M19" s="2"/>
    </row>
    <row r="20" spans="1:13" ht="18.75" x14ac:dyDescent="0.3">
      <c r="A20" s="8">
        <v>15</v>
      </c>
      <c r="B20" s="51"/>
      <c r="C20" s="55"/>
      <c r="E20" s="8"/>
      <c r="F20" s="8"/>
      <c r="G20" s="8"/>
      <c r="H20" s="2"/>
      <c r="I20" s="2"/>
      <c r="J20" s="2"/>
      <c r="K20" s="2"/>
      <c r="L20" s="2"/>
      <c r="M20" s="2"/>
    </row>
    <row r="21" spans="1:13" ht="18.75" x14ac:dyDescent="0.3">
      <c r="A21" s="8">
        <v>16</v>
      </c>
      <c r="B21" s="51"/>
      <c r="C21" s="55"/>
      <c r="D21" s="8"/>
      <c r="E21" s="8"/>
      <c r="F21" s="8"/>
      <c r="G21" s="8"/>
      <c r="H21" s="2"/>
      <c r="I21" s="2"/>
      <c r="J21" s="2"/>
      <c r="K21" s="2"/>
      <c r="L21" s="2"/>
      <c r="M21" s="2"/>
    </row>
    <row r="22" spans="1:13" ht="18.75" x14ac:dyDescent="0.3">
      <c r="A22" s="8">
        <v>17</v>
      </c>
      <c r="B22" s="51"/>
      <c r="C22" s="55"/>
      <c r="E22" s="8"/>
      <c r="F22" s="8"/>
      <c r="G22" s="8"/>
      <c r="H22" s="2"/>
      <c r="I22" s="2"/>
      <c r="J22" s="2"/>
      <c r="K22" s="2"/>
      <c r="L22" s="2"/>
      <c r="M22" s="2"/>
    </row>
    <row r="23" spans="1:13" ht="18.75" x14ac:dyDescent="0.3">
      <c r="A23" s="8">
        <v>18</v>
      </c>
      <c r="B23" s="51"/>
      <c r="C23" s="55"/>
      <c r="D23" s="8"/>
      <c r="E23" s="8"/>
      <c r="F23" s="8"/>
      <c r="G23" s="8"/>
      <c r="H23" s="2"/>
      <c r="I23" s="2"/>
      <c r="J23" s="2"/>
      <c r="K23" s="2"/>
      <c r="L23" s="2"/>
      <c r="M23" s="2"/>
    </row>
    <row r="24" spans="1:13" ht="18.75" x14ac:dyDescent="0.3">
      <c r="A24" s="8">
        <v>19</v>
      </c>
      <c r="B24" s="51"/>
      <c r="C24" s="55"/>
      <c r="D24" s="8"/>
      <c r="E24" s="8"/>
      <c r="F24" s="8"/>
      <c r="G24" s="8"/>
      <c r="H24" s="2"/>
      <c r="I24" s="2"/>
      <c r="J24" s="2"/>
      <c r="K24" s="2"/>
      <c r="L24" s="2"/>
      <c r="M24" s="2"/>
    </row>
    <row r="25" spans="1:13" ht="18.75" x14ac:dyDescent="0.3">
      <c r="A25" s="8">
        <v>20</v>
      </c>
      <c r="B25" s="51"/>
      <c r="C25" s="55"/>
      <c r="D25" s="8"/>
      <c r="E25" s="8"/>
      <c r="F25" s="8"/>
      <c r="G25" s="8"/>
      <c r="H25" s="2"/>
      <c r="I25" s="2"/>
      <c r="J25" s="2"/>
      <c r="K25" s="2"/>
      <c r="L25" s="2"/>
      <c r="M25" s="2"/>
    </row>
    <row r="26" spans="1:13" ht="18.75" x14ac:dyDescent="0.3">
      <c r="A26" s="8">
        <v>21</v>
      </c>
      <c r="B26" s="51"/>
      <c r="C26" s="55"/>
      <c r="D26" s="8"/>
      <c r="E26" s="8"/>
      <c r="F26" s="8"/>
      <c r="G26" s="8"/>
      <c r="H26" s="2"/>
      <c r="I26" s="2"/>
      <c r="J26" s="2"/>
      <c r="K26" s="2"/>
      <c r="L26" s="2"/>
      <c r="M26" s="2"/>
    </row>
    <row r="27" spans="1:13" ht="18.75" x14ac:dyDescent="0.3">
      <c r="A27" s="8">
        <v>22</v>
      </c>
      <c r="B27" s="51"/>
      <c r="C27" s="55"/>
      <c r="E27" s="8"/>
      <c r="F27" s="8"/>
      <c r="G27" s="8"/>
      <c r="H27" s="2"/>
      <c r="I27" s="2"/>
      <c r="J27" s="2"/>
      <c r="K27" s="2"/>
      <c r="L27" s="2"/>
      <c r="M27" s="2"/>
    </row>
    <row r="28" spans="1:13" ht="18.75" x14ac:dyDescent="0.3">
      <c r="A28" s="8">
        <v>23</v>
      </c>
      <c r="B28" s="51"/>
      <c r="C28" s="55"/>
      <c r="D28" s="8"/>
      <c r="E28" s="8"/>
      <c r="F28" s="8"/>
      <c r="G28" s="8"/>
      <c r="H28" s="2"/>
      <c r="I28" s="2"/>
      <c r="J28" s="2"/>
      <c r="K28" s="2"/>
      <c r="L28" s="2"/>
      <c r="M28" s="2"/>
    </row>
    <row r="29" spans="1:13" ht="18.75" x14ac:dyDescent="0.3">
      <c r="A29" s="8">
        <v>24</v>
      </c>
      <c r="B29" s="51"/>
      <c r="C29" s="55"/>
      <c r="D29" s="8"/>
      <c r="E29" s="8"/>
      <c r="F29" s="8"/>
      <c r="G29" s="8"/>
      <c r="H29" s="2"/>
      <c r="I29" s="2"/>
      <c r="J29" s="2"/>
      <c r="K29" s="2"/>
      <c r="L29" s="2"/>
      <c r="M29" s="2"/>
    </row>
    <row r="30" spans="1:13" ht="18.75" x14ac:dyDescent="0.3">
      <c r="A30" s="8">
        <v>25</v>
      </c>
      <c r="B30" s="51"/>
      <c r="C30" s="55"/>
      <c r="D30" s="8"/>
      <c r="E30" s="8"/>
      <c r="F30" s="8"/>
      <c r="G30" s="8"/>
      <c r="H30" s="2"/>
      <c r="I30" s="2"/>
      <c r="J30" s="2"/>
      <c r="K30" s="2"/>
      <c r="L30" s="2"/>
      <c r="M30" s="2"/>
    </row>
    <row r="31" spans="1:13" ht="18.75" x14ac:dyDescent="0.3">
      <c r="A31" s="8">
        <v>26</v>
      </c>
      <c r="B31" s="51"/>
      <c r="C31" s="55"/>
      <c r="E31" s="8"/>
      <c r="F31" s="8"/>
      <c r="G31" s="8"/>
      <c r="H31" s="2"/>
      <c r="I31" s="2"/>
      <c r="J31" s="2"/>
      <c r="K31" s="2"/>
      <c r="L31" s="2"/>
      <c r="M31" s="2"/>
    </row>
    <row r="32" spans="1:13" ht="18.75" x14ac:dyDescent="0.3">
      <c r="A32" s="8">
        <v>27</v>
      </c>
      <c r="B32" s="51"/>
      <c r="C32" s="55"/>
      <c r="E32" s="8"/>
      <c r="F32" s="8"/>
      <c r="G32" s="8"/>
      <c r="H32" s="2"/>
      <c r="I32" s="2"/>
      <c r="J32" s="2"/>
      <c r="K32" s="2"/>
      <c r="L32" s="2"/>
      <c r="M32" s="2"/>
    </row>
    <row r="33" spans="1:13" ht="18.75" x14ac:dyDescent="0.3">
      <c r="A33" s="8">
        <v>28</v>
      </c>
      <c r="B33" s="51"/>
      <c r="C33" s="55"/>
      <c r="D33" s="8"/>
      <c r="E33" s="8"/>
      <c r="F33" s="8"/>
      <c r="G33" s="8"/>
      <c r="H33" s="2"/>
      <c r="I33" s="2"/>
      <c r="J33" s="2"/>
      <c r="K33" s="2"/>
      <c r="L33" s="2"/>
      <c r="M33" s="2"/>
    </row>
    <row r="34" spans="1:13" ht="18.75" x14ac:dyDescent="0.3">
      <c r="A34" s="8">
        <v>29</v>
      </c>
      <c r="B34" s="51"/>
      <c r="C34" s="55"/>
      <c r="D34" s="8"/>
      <c r="E34" s="8"/>
      <c r="F34" s="8"/>
      <c r="G34" s="8"/>
      <c r="H34" s="2"/>
      <c r="I34" s="2"/>
      <c r="J34" s="2"/>
      <c r="K34" s="2"/>
      <c r="L34" s="2"/>
      <c r="M34" s="2"/>
    </row>
    <row r="35" spans="1:13" ht="18.75" x14ac:dyDescent="0.3">
      <c r="A35" s="8">
        <v>30</v>
      </c>
      <c r="B35" s="51"/>
      <c r="C35" s="55"/>
      <c r="D35" s="8"/>
      <c r="E35" s="8"/>
      <c r="F35" s="8"/>
      <c r="G35" s="8"/>
    </row>
    <row r="36" spans="1:13" ht="18.75" x14ac:dyDescent="0.3">
      <c r="A36" s="8">
        <v>31</v>
      </c>
      <c r="B36" s="51"/>
      <c r="C36" s="55"/>
      <c r="D36" s="8"/>
      <c r="E36" s="8"/>
      <c r="F36" s="8"/>
      <c r="G36" s="8"/>
    </row>
    <row r="37" spans="1:13" ht="18.75" x14ac:dyDescent="0.3">
      <c r="A37" s="8">
        <v>32</v>
      </c>
      <c r="B37" s="51"/>
      <c r="C37" s="55"/>
      <c r="D37" s="8"/>
      <c r="E37" s="8"/>
      <c r="F37" s="8"/>
      <c r="G37" s="8"/>
    </row>
    <row r="38" spans="1:13" ht="18.75" x14ac:dyDescent="0.3">
      <c r="A38" s="8">
        <v>33</v>
      </c>
      <c r="B38" s="51"/>
      <c r="C38" s="55"/>
      <c r="E38" s="8"/>
      <c r="F38" s="8"/>
      <c r="G38" s="8"/>
    </row>
    <row r="39" spans="1:13" ht="18.75" x14ac:dyDescent="0.3">
      <c r="A39" s="8">
        <v>34</v>
      </c>
      <c r="B39" s="51"/>
      <c r="C39" s="55"/>
      <c r="D39" s="8"/>
      <c r="E39" s="8"/>
      <c r="F39" s="8"/>
      <c r="G39" s="8"/>
    </row>
    <row r="40" spans="1:13" ht="18.75" x14ac:dyDescent="0.3">
      <c r="A40" s="8">
        <v>35</v>
      </c>
      <c r="B40" s="51"/>
      <c r="C40" s="55"/>
      <c r="D40" s="8"/>
      <c r="E40" s="8"/>
      <c r="F40" s="8"/>
      <c r="G40" s="8"/>
    </row>
    <row r="41" spans="1:13" ht="18.75" x14ac:dyDescent="0.3">
      <c r="A41" s="8">
        <v>36</v>
      </c>
      <c r="B41" s="51"/>
      <c r="C41" s="55"/>
      <c r="D41" s="8"/>
      <c r="E41" s="8"/>
      <c r="F41" s="8"/>
      <c r="G41" s="8"/>
      <c r="H41" s="2"/>
    </row>
    <row r="42" spans="1:13" ht="18.75" x14ac:dyDescent="0.3">
      <c r="A42" s="8">
        <v>37</v>
      </c>
      <c r="B42" s="51"/>
      <c r="C42" s="55"/>
      <c r="E42" s="8"/>
      <c r="F42" s="8"/>
      <c r="G42" s="8"/>
      <c r="H42" s="2"/>
      <c r="I42" s="2"/>
      <c r="J42" s="2"/>
    </row>
    <row r="43" spans="1:13" ht="18.75" x14ac:dyDescent="0.3">
      <c r="A43" s="8">
        <v>38</v>
      </c>
      <c r="B43" s="51"/>
      <c r="C43" s="55"/>
      <c r="D43" s="8"/>
      <c r="E43" s="8"/>
      <c r="F43" s="8"/>
      <c r="G43" s="8"/>
      <c r="H43" s="2"/>
      <c r="I43" s="2"/>
      <c r="J43" s="2"/>
    </row>
    <row r="44" spans="1:13" ht="18.75" x14ac:dyDescent="0.3">
      <c r="A44" s="8">
        <v>39</v>
      </c>
      <c r="B44" s="51"/>
      <c r="C44" s="55"/>
      <c r="E44" s="8"/>
      <c r="F44" s="8"/>
      <c r="G44" s="8"/>
      <c r="H44" s="2"/>
      <c r="I44" s="2"/>
      <c r="J44" s="2"/>
    </row>
    <row r="45" spans="1:13" ht="18.75" x14ac:dyDescent="0.3">
      <c r="A45" s="8">
        <v>40</v>
      </c>
      <c r="B45" s="51"/>
      <c r="C45" s="55"/>
      <c r="D45" s="8"/>
      <c r="E45" s="8"/>
      <c r="F45" s="8"/>
      <c r="G45" s="8"/>
      <c r="H45" s="2"/>
      <c r="I45" s="2"/>
      <c r="J45" s="2"/>
    </row>
    <row r="46" spans="1:13" ht="18.75" x14ac:dyDescent="0.3">
      <c r="A46" s="8">
        <v>41</v>
      </c>
      <c r="B46" s="51"/>
      <c r="C46" s="55"/>
      <c r="D46" s="8"/>
      <c r="E46" s="8"/>
      <c r="F46" s="8"/>
      <c r="G46" s="8"/>
    </row>
    <row r="47" spans="1:13" ht="18.75" x14ac:dyDescent="0.3">
      <c r="A47" s="8">
        <v>42</v>
      </c>
      <c r="B47" s="51"/>
      <c r="C47" s="55"/>
      <c r="E47" s="8"/>
      <c r="F47" s="8"/>
      <c r="G47" s="8"/>
    </row>
    <row r="48" spans="1:13" ht="18.75" x14ac:dyDescent="0.3">
      <c r="A48" s="8">
        <v>43</v>
      </c>
      <c r="B48" s="51"/>
      <c r="C48" s="55"/>
      <c r="D48" s="8"/>
      <c r="E48" s="8"/>
      <c r="F48" s="8"/>
      <c r="G48" s="8"/>
    </row>
    <row r="49" spans="1:11" ht="18.75" x14ac:dyDescent="0.3">
      <c r="A49" s="8">
        <v>44</v>
      </c>
      <c r="B49" s="51"/>
      <c r="C49" s="55"/>
      <c r="D49" s="8"/>
      <c r="E49" s="8"/>
      <c r="F49" s="8"/>
      <c r="G49" s="8"/>
    </row>
    <row r="50" spans="1:11" ht="18.75" x14ac:dyDescent="0.3">
      <c r="A50" s="8">
        <v>45</v>
      </c>
      <c r="B50" s="51"/>
      <c r="C50" s="55"/>
      <c r="D50" s="8"/>
      <c r="E50" s="8"/>
      <c r="F50" s="8"/>
      <c r="G50" s="8"/>
    </row>
    <row r="51" spans="1:11" ht="18.75" x14ac:dyDescent="0.3">
      <c r="A51" s="8">
        <v>46</v>
      </c>
      <c r="B51" s="51"/>
      <c r="C51" s="55"/>
      <c r="E51" s="8"/>
      <c r="F51" s="8"/>
      <c r="G51" s="8"/>
      <c r="H51" s="2"/>
    </row>
    <row r="52" spans="1:11" ht="18.75" x14ac:dyDescent="0.3">
      <c r="A52" s="8">
        <v>47</v>
      </c>
      <c r="B52" s="51"/>
      <c r="C52" s="55"/>
      <c r="D52" s="8"/>
      <c r="E52" s="8"/>
      <c r="F52" s="8"/>
      <c r="G52" s="8"/>
    </row>
    <row r="53" spans="1:11" ht="18.75" x14ac:dyDescent="0.3">
      <c r="A53" s="8">
        <v>48</v>
      </c>
      <c r="B53" s="51"/>
      <c r="C53" s="55"/>
      <c r="D53" s="8"/>
      <c r="E53" s="8"/>
      <c r="F53" s="8"/>
      <c r="G53" s="8"/>
    </row>
    <row r="54" spans="1:11" ht="18.75" x14ac:dyDescent="0.3">
      <c r="A54" s="8">
        <v>49</v>
      </c>
      <c r="B54" s="51"/>
      <c r="C54" s="55"/>
      <c r="D54" s="8"/>
      <c r="E54" s="8"/>
      <c r="F54" s="8"/>
      <c r="G54" s="8"/>
    </row>
    <row r="55" spans="1:11" ht="18.75" x14ac:dyDescent="0.3">
      <c r="A55" s="8">
        <v>50</v>
      </c>
      <c r="B55" s="51"/>
      <c r="C55" s="55"/>
      <c r="D55" s="8"/>
      <c r="E55" s="8"/>
      <c r="F55" s="8"/>
      <c r="G55" s="8"/>
    </row>
    <row r="56" spans="1:11" ht="18.75" x14ac:dyDescent="0.3">
      <c r="A56" s="8">
        <v>51</v>
      </c>
      <c r="B56" s="51"/>
      <c r="C56" s="55"/>
      <c r="D56" s="8"/>
      <c r="E56" s="8"/>
      <c r="F56" s="8"/>
      <c r="G56" s="8"/>
    </row>
    <row r="57" spans="1:11" ht="18.75" x14ac:dyDescent="0.3">
      <c r="A57" s="8">
        <v>52</v>
      </c>
      <c r="B57" s="51"/>
      <c r="C57" s="55"/>
      <c r="D57" s="8"/>
      <c r="E57" s="8"/>
      <c r="F57" s="8"/>
      <c r="G57" s="8"/>
      <c r="H57" s="2"/>
      <c r="I57" s="2"/>
      <c r="J57" s="2"/>
      <c r="K57" s="2"/>
    </row>
    <row r="58" spans="1:11" ht="18.75" x14ac:dyDescent="0.3">
      <c r="A58" s="8">
        <v>53</v>
      </c>
      <c r="B58" s="51"/>
      <c r="C58" s="55"/>
      <c r="E58" s="8"/>
      <c r="F58" s="8"/>
      <c r="G58" s="8"/>
    </row>
    <row r="59" spans="1:11" ht="18.75" x14ac:dyDescent="0.3">
      <c r="A59" s="8">
        <v>54</v>
      </c>
      <c r="B59" s="51"/>
      <c r="C59" s="55"/>
      <c r="D59" s="8"/>
      <c r="E59" s="8"/>
      <c r="F59" s="8"/>
      <c r="G59" s="8"/>
    </row>
    <row r="60" spans="1:11" ht="18.75" x14ac:dyDescent="0.3">
      <c r="A60" s="8">
        <v>55</v>
      </c>
      <c r="B60" s="51"/>
      <c r="C60" s="55"/>
      <c r="D60" s="8"/>
      <c r="E60" s="8"/>
      <c r="F60" s="8"/>
      <c r="G60" s="8"/>
    </row>
    <row r="61" spans="1:11" ht="18.75" x14ac:dyDescent="0.3">
      <c r="A61" s="8">
        <v>56</v>
      </c>
      <c r="B61" s="51"/>
      <c r="C61" s="55"/>
      <c r="D61" s="8"/>
      <c r="E61" s="8"/>
      <c r="F61" s="8"/>
      <c r="G61" s="8"/>
    </row>
    <row r="62" spans="1:11" ht="18.75" x14ac:dyDescent="0.3">
      <c r="A62" s="8">
        <v>57</v>
      </c>
      <c r="B62" s="51"/>
      <c r="C62" s="55"/>
      <c r="E62" s="8"/>
      <c r="F62" s="8"/>
      <c r="G62" s="8"/>
    </row>
    <row r="63" spans="1:11" ht="18.75" x14ac:dyDescent="0.3">
      <c r="A63" s="8">
        <v>58</v>
      </c>
      <c r="B63" s="51"/>
      <c r="C63" s="55"/>
      <c r="E63" s="8"/>
      <c r="F63" s="8"/>
      <c r="G63" s="8"/>
    </row>
    <row r="64" spans="1:11" ht="18.75" x14ac:dyDescent="0.3">
      <c r="A64" s="8">
        <v>59</v>
      </c>
      <c r="B64" s="51"/>
      <c r="C64" s="55"/>
      <c r="D64" s="8"/>
      <c r="E64" s="8"/>
      <c r="F64" s="8"/>
      <c r="G64" s="8"/>
    </row>
    <row r="65" spans="1:7" ht="18.75" x14ac:dyDescent="0.3">
      <c r="A65" s="8">
        <v>60</v>
      </c>
      <c r="B65" s="51"/>
      <c r="C65" s="55"/>
      <c r="D65" s="8"/>
      <c r="E65" s="8"/>
      <c r="F65" s="8"/>
      <c r="G65" s="8"/>
    </row>
    <row r="66" spans="1:7" ht="18.75" x14ac:dyDescent="0.3">
      <c r="A66" s="8">
        <v>61</v>
      </c>
      <c r="B66" s="51"/>
      <c r="C66" s="55"/>
      <c r="D66" s="8"/>
      <c r="E66" s="8"/>
      <c r="F66" s="8"/>
      <c r="G66" s="8"/>
    </row>
    <row r="67" spans="1:7" ht="18.75" x14ac:dyDescent="0.3">
      <c r="A67" s="8">
        <v>62</v>
      </c>
      <c r="B67" s="51"/>
      <c r="C67" s="55"/>
      <c r="D67" s="8"/>
      <c r="E67" s="8"/>
      <c r="F67" s="8"/>
      <c r="G67" s="8"/>
    </row>
    <row r="68" spans="1:7" ht="18.75" x14ac:dyDescent="0.3">
      <c r="A68" s="8">
        <v>63</v>
      </c>
      <c r="B68" s="51"/>
      <c r="C68" s="55"/>
      <c r="D68" s="8"/>
      <c r="E68" s="8"/>
      <c r="F68" s="8"/>
      <c r="G68" s="8"/>
    </row>
    <row r="69" spans="1:7" ht="18.75" x14ac:dyDescent="0.3">
      <c r="A69" s="8">
        <v>64</v>
      </c>
      <c r="B69" s="51"/>
      <c r="C69" s="55"/>
      <c r="D69" s="8"/>
      <c r="E69" s="8"/>
      <c r="F69" s="8"/>
      <c r="G69" s="8"/>
    </row>
    <row r="70" spans="1:7" ht="18.75" x14ac:dyDescent="0.3">
      <c r="A70" s="8">
        <v>65</v>
      </c>
      <c r="B70" s="51"/>
      <c r="C70" s="55"/>
      <c r="D70" s="8"/>
      <c r="E70" s="8"/>
      <c r="F70" s="8"/>
      <c r="G70" s="8"/>
    </row>
    <row r="71" spans="1:7" ht="18.75" x14ac:dyDescent="0.3">
      <c r="A71" s="8">
        <v>66</v>
      </c>
      <c r="B71" s="51"/>
      <c r="C71" s="55"/>
      <c r="D71" s="8"/>
      <c r="E71" s="8"/>
      <c r="F71" s="8"/>
      <c r="G71" s="8"/>
    </row>
    <row r="72" spans="1:7" ht="18.75" x14ac:dyDescent="0.3">
      <c r="A72" s="8">
        <v>68</v>
      </c>
      <c r="B72" s="51"/>
      <c r="C72" s="55"/>
      <c r="E72" s="8"/>
      <c r="F72" s="8"/>
      <c r="G72" s="8"/>
    </row>
    <row r="73" spans="1:7" ht="18.75" x14ac:dyDescent="0.3">
      <c r="A73" s="8">
        <v>69</v>
      </c>
      <c r="B73" s="51"/>
      <c r="C73" s="55"/>
      <c r="D73" s="8"/>
      <c r="E73" s="8"/>
      <c r="F73" s="8"/>
      <c r="G73" s="8"/>
    </row>
    <row r="74" spans="1:7" ht="18.75" x14ac:dyDescent="0.3">
      <c r="A74" s="8">
        <v>70</v>
      </c>
      <c r="B74" s="51"/>
      <c r="C74" s="55"/>
      <c r="D74" s="8"/>
      <c r="E74" s="8"/>
      <c r="F74" s="8"/>
      <c r="G74" s="8"/>
    </row>
    <row r="75" spans="1:7" ht="18.75" x14ac:dyDescent="0.3">
      <c r="A75" s="8">
        <v>71</v>
      </c>
      <c r="B75" s="51"/>
      <c r="C75" s="55"/>
      <c r="D75" s="8"/>
      <c r="E75" s="8"/>
      <c r="F75" s="8"/>
      <c r="G75" s="8"/>
    </row>
    <row r="76" spans="1:7" ht="18.75" x14ac:dyDescent="0.3">
      <c r="A76" s="8">
        <v>72</v>
      </c>
      <c r="B76" s="51"/>
      <c r="C76" s="55"/>
      <c r="D76" s="8"/>
      <c r="E76" s="8"/>
      <c r="F76" s="8"/>
      <c r="G76" s="8"/>
    </row>
    <row r="77" spans="1:7" ht="18.75" x14ac:dyDescent="0.3">
      <c r="A77" s="8">
        <v>73</v>
      </c>
      <c r="B77" s="51"/>
      <c r="C77" s="55"/>
      <c r="D77" s="8"/>
      <c r="E77" s="8"/>
      <c r="F77" s="8"/>
      <c r="G77" s="8"/>
    </row>
    <row r="78" spans="1:7" ht="18.75" x14ac:dyDescent="0.3">
      <c r="A78" s="8">
        <v>74</v>
      </c>
      <c r="B78" s="51"/>
      <c r="C78" s="55"/>
      <c r="E78" s="8"/>
      <c r="F78" s="8"/>
      <c r="G78" s="8"/>
    </row>
    <row r="79" spans="1:7" ht="18.75" x14ac:dyDescent="0.3">
      <c r="A79" s="8">
        <v>75</v>
      </c>
      <c r="B79" s="51"/>
      <c r="C79" s="55"/>
      <c r="D79" s="8"/>
      <c r="E79" s="8"/>
      <c r="F79" s="8"/>
      <c r="G79" s="8"/>
    </row>
    <row r="80" spans="1:7" ht="18.75" x14ac:dyDescent="0.3">
      <c r="A80" s="8">
        <v>76</v>
      </c>
      <c r="B80" s="51"/>
      <c r="C80" s="55"/>
      <c r="D80" s="8"/>
      <c r="E80" s="8"/>
      <c r="F80" s="8"/>
      <c r="G80" s="8"/>
    </row>
    <row r="81" spans="1:7" ht="18.75" x14ac:dyDescent="0.3">
      <c r="A81" s="8">
        <v>77</v>
      </c>
      <c r="B81" s="51"/>
      <c r="C81" s="55"/>
      <c r="D81" s="8"/>
      <c r="E81" s="8"/>
      <c r="F81" s="8"/>
      <c r="G81" s="8"/>
    </row>
    <row r="82" spans="1:7" ht="18.75" x14ac:dyDescent="0.3">
      <c r="A82" s="8">
        <v>78</v>
      </c>
      <c r="B82" s="51"/>
      <c r="C82" s="55"/>
      <c r="E82" s="8"/>
      <c r="F82" s="8"/>
      <c r="G82" s="8"/>
    </row>
    <row r="83" spans="1:7" ht="18.75" x14ac:dyDescent="0.3">
      <c r="A83" s="8">
        <v>79</v>
      </c>
      <c r="B83" s="51"/>
      <c r="C83" s="55"/>
      <c r="E83" s="8"/>
      <c r="F83" s="8"/>
      <c r="G83" s="8"/>
    </row>
    <row r="84" spans="1:7" ht="18.75" x14ac:dyDescent="0.3">
      <c r="A84" s="8">
        <v>80</v>
      </c>
    </row>
    <row r="85" spans="1:7" ht="18.75" x14ac:dyDescent="0.3">
      <c r="A85" s="8">
        <v>81</v>
      </c>
      <c r="G85" s="8"/>
    </row>
    <row r="86" spans="1:7" ht="18.75" x14ac:dyDescent="0.3">
      <c r="A86" s="8">
        <v>82</v>
      </c>
      <c r="G86" s="8"/>
    </row>
    <row r="87" spans="1:7" ht="18.75" x14ac:dyDescent="0.3">
      <c r="A87" s="8">
        <v>83</v>
      </c>
      <c r="G87" s="8"/>
    </row>
    <row r="88" spans="1:7" ht="18.75" x14ac:dyDescent="0.3">
      <c r="A88" s="8">
        <v>84</v>
      </c>
      <c r="G88" s="8"/>
    </row>
    <row r="89" spans="1:7" ht="18.75" x14ac:dyDescent="0.3">
      <c r="A89" s="8">
        <v>85</v>
      </c>
      <c r="G89" s="8"/>
    </row>
    <row r="90" spans="1:7" ht="18.75" x14ac:dyDescent="0.3">
      <c r="A90" s="8">
        <v>86</v>
      </c>
      <c r="G90" s="8"/>
    </row>
    <row r="91" spans="1:7" ht="18.75" x14ac:dyDescent="0.3">
      <c r="A91" s="8">
        <v>87</v>
      </c>
      <c r="G91" s="8"/>
    </row>
    <row r="92" spans="1:7" ht="18.75" x14ac:dyDescent="0.3">
      <c r="A92" s="8">
        <v>88</v>
      </c>
      <c r="G92" s="8"/>
    </row>
    <row r="93" spans="1:7" ht="18.75" x14ac:dyDescent="0.3">
      <c r="A93" s="8">
        <v>89</v>
      </c>
      <c r="G93" s="8"/>
    </row>
    <row r="94" spans="1:7" ht="18.75" x14ac:dyDescent="0.3">
      <c r="A94" s="8">
        <v>90</v>
      </c>
      <c r="G94" s="8"/>
    </row>
    <row r="95" spans="1:7" ht="18.75" x14ac:dyDescent="0.3">
      <c r="G95" s="8"/>
    </row>
    <row r="96" spans="1:7" ht="18.75" x14ac:dyDescent="0.3">
      <c r="G96" s="8"/>
    </row>
    <row r="97" spans="7:7" ht="18.75" x14ac:dyDescent="0.3">
      <c r="G97" s="8"/>
    </row>
    <row r="98" spans="7:7" ht="18.75" x14ac:dyDescent="0.3">
      <c r="G98" s="8"/>
    </row>
    <row r="99" spans="7:7" ht="18.75" x14ac:dyDescent="0.3">
      <c r="G99" s="8"/>
    </row>
    <row r="100" spans="7:7" ht="18.75" x14ac:dyDescent="0.3">
      <c r="G100" s="8"/>
    </row>
    <row r="101" spans="7:7" ht="18.75" x14ac:dyDescent="0.3">
      <c r="G101" s="8"/>
    </row>
    <row r="102" spans="7:7" ht="18.75" x14ac:dyDescent="0.3">
      <c r="G102" s="8"/>
    </row>
    <row r="103" spans="7:7" ht="18.75" x14ac:dyDescent="0.3">
      <c r="G103" s="8"/>
    </row>
    <row r="104" spans="7:7" ht="18.75" x14ac:dyDescent="0.3">
      <c r="G104" s="8"/>
    </row>
    <row r="105" spans="7:7" ht="18.75" x14ac:dyDescent="0.3">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5" x14ac:dyDescent="0.25"/>
  <cols>
    <col min="1" max="1" width="4.42578125" style="3" customWidth="1"/>
    <col min="2" max="2" width="15.5703125" style="7" bestFit="1" customWidth="1"/>
    <col min="3" max="3" width="9.28515625" style="68" bestFit="1" customWidth="1"/>
    <col min="4" max="4" width="9.7109375" style="68" customWidth="1"/>
    <col min="5" max="5" width="9.140625" style="69"/>
  </cols>
  <sheetData>
    <row r="2" spans="1:14" ht="26.25" x14ac:dyDescent="0.4">
      <c r="B2" s="98" t="s">
        <v>13</v>
      </c>
      <c r="C2" s="98"/>
      <c r="D2" s="98"/>
      <c r="E2" s="98"/>
      <c r="F2" s="98"/>
      <c r="G2" s="98"/>
      <c r="H2" s="98"/>
      <c r="I2" s="98"/>
      <c r="J2" s="98"/>
      <c r="K2" s="98"/>
      <c r="L2" s="98"/>
      <c r="M2" s="98"/>
      <c r="N2" s="98"/>
    </row>
    <row r="3" spans="1:14" ht="18.75" x14ac:dyDescent="0.25">
      <c r="B3" s="45" t="s">
        <v>241</v>
      </c>
      <c r="C3" s="67">
        <v>13902</v>
      </c>
    </row>
    <row r="4" spans="1:14" ht="56.25" x14ac:dyDescent="0.25">
      <c r="A4" s="12" t="s">
        <v>7</v>
      </c>
      <c r="B4" s="13"/>
      <c r="C4" s="14" t="s">
        <v>8</v>
      </c>
      <c r="D4" s="15" t="s">
        <v>14</v>
      </c>
      <c r="E4" s="17" t="s">
        <v>15</v>
      </c>
      <c r="F4" s="16"/>
      <c r="G4" s="16"/>
      <c r="H4" s="16"/>
      <c r="I4" s="16"/>
      <c r="J4" s="16"/>
    </row>
    <row r="5" spans="1:14" ht="18.75" x14ac:dyDescent="0.3">
      <c r="A5" s="8">
        <v>1</v>
      </c>
      <c r="B5" s="9"/>
      <c r="C5" s="70">
        <f>incomes!C4</f>
        <v>1075</v>
      </c>
      <c r="D5" s="71">
        <f>outcomes!C3</f>
        <v>1250</v>
      </c>
      <c r="E5" s="72">
        <f>(C3+C5)-D5</f>
        <v>13727</v>
      </c>
      <c r="F5" s="2"/>
      <c r="G5" s="2"/>
      <c r="H5" s="2"/>
      <c r="I5" s="2"/>
      <c r="J5" s="2"/>
    </row>
    <row r="6" spans="1:14" ht="18.75" x14ac:dyDescent="0.3">
      <c r="A6" s="8"/>
      <c r="B6" s="9"/>
      <c r="C6" s="73"/>
      <c r="D6" s="73"/>
      <c r="E6" s="74"/>
      <c r="F6" s="2"/>
      <c r="G6" s="2"/>
      <c r="H6" s="2"/>
      <c r="I6" s="2"/>
      <c r="J6" s="2"/>
    </row>
    <row r="7" spans="1:14" ht="18.75" x14ac:dyDescent="0.3">
      <c r="A7" s="8"/>
      <c r="B7" s="9"/>
      <c r="C7" s="73"/>
      <c r="D7" s="73"/>
      <c r="E7" s="74"/>
      <c r="F7" s="2"/>
      <c r="G7" s="2"/>
      <c r="H7" s="2"/>
      <c r="I7" s="2"/>
      <c r="J7" s="2"/>
    </row>
    <row r="8" spans="1:14" ht="18.75" x14ac:dyDescent="0.3">
      <c r="A8" s="8"/>
      <c r="B8" s="9"/>
      <c r="C8" s="73"/>
      <c r="D8" s="73"/>
      <c r="E8" s="74"/>
      <c r="F8" s="2"/>
      <c r="G8" s="2"/>
      <c r="H8" s="2"/>
      <c r="I8" s="2"/>
      <c r="J8" s="2"/>
    </row>
    <row r="9" spans="1:14" ht="18.75" x14ac:dyDescent="0.3">
      <c r="A9" s="8"/>
      <c r="B9" s="9"/>
      <c r="C9" s="73"/>
      <c r="D9" s="73"/>
      <c r="E9" s="74"/>
      <c r="F9" s="2"/>
      <c r="G9" s="2"/>
      <c r="H9" s="2"/>
      <c r="I9" s="2"/>
      <c r="J9" s="2"/>
    </row>
    <row r="10" spans="1:14" ht="18.75" x14ac:dyDescent="0.3">
      <c r="A10" s="8"/>
      <c r="B10" s="9"/>
      <c r="C10" s="73"/>
      <c r="D10" s="73"/>
      <c r="E10" s="74"/>
      <c r="F10" s="2"/>
      <c r="G10" s="2"/>
      <c r="H10" s="2"/>
      <c r="I10" s="2"/>
      <c r="J10" s="2"/>
    </row>
    <row r="11" spans="1:14" ht="18.75" x14ac:dyDescent="0.3">
      <c r="A11" s="8"/>
      <c r="B11" s="9"/>
      <c r="C11" s="73"/>
      <c r="D11" s="73"/>
      <c r="E11" s="74"/>
      <c r="F11" s="2"/>
      <c r="G11" s="2"/>
      <c r="H11" s="2"/>
      <c r="I11" s="2"/>
      <c r="J11" s="2"/>
    </row>
    <row r="12" spans="1:14" ht="18.75" x14ac:dyDescent="0.3">
      <c r="A12" s="8"/>
      <c r="B12" s="9"/>
      <c r="C12" s="73"/>
      <c r="D12" s="73"/>
      <c r="E12" s="74"/>
      <c r="F12" s="2"/>
      <c r="G12" s="2"/>
      <c r="H12" s="2"/>
      <c r="I12" s="2"/>
      <c r="J12" s="2"/>
    </row>
    <row r="13" spans="1:14" ht="18.75" x14ac:dyDescent="0.3">
      <c r="A13" s="8"/>
      <c r="B13" s="9"/>
      <c r="C13" s="73"/>
      <c r="D13" s="73"/>
      <c r="E13" s="74"/>
      <c r="F13" s="2"/>
      <c r="G13" s="2"/>
      <c r="H13" s="2"/>
      <c r="I13" s="2"/>
      <c r="J13" s="2"/>
    </row>
    <row r="14" spans="1:14" ht="18.75" x14ac:dyDescent="0.3">
      <c r="A14" s="8"/>
      <c r="B14" s="9"/>
      <c r="C14" s="73"/>
      <c r="D14" s="73"/>
      <c r="E14" s="74"/>
      <c r="F14" s="2"/>
      <c r="G14" s="2"/>
      <c r="H14" s="2"/>
      <c r="I14" s="2"/>
      <c r="J14" s="2"/>
    </row>
    <row r="15" spans="1:14" ht="18.75" x14ac:dyDescent="0.3">
      <c r="A15" s="8"/>
      <c r="B15" s="9"/>
      <c r="C15" s="73"/>
      <c r="D15" s="73"/>
      <c r="E15" s="74"/>
      <c r="F15" s="2"/>
      <c r="G15" s="2"/>
      <c r="H15" s="2"/>
      <c r="I15" s="2"/>
      <c r="J15" s="2"/>
    </row>
    <row r="16" spans="1:14" ht="18.75" x14ac:dyDescent="0.3">
      <c r="A16" s="8"/>
      <c r="B16" s="9"/>
      <c r="C16" s="73"/>
      <c r="D16" s="73"/>
      <c r="E16" s="74"/>
      <c r="F16" s="2"/>
      <c r="G16" s="2"/>
      <c r="H16" s="2"/>
      <c r="I16" s="2"/>
      <c r="J16" s="2"/>
    </row>
    <row r="17" spans="1:10" ht="18.75" x14ac:dyDescent="0.3">
      <c r="A17" s="8"/>
      <c r="B17" s="9"/>
      <c r="C17" s="73"/>
      <c r="D17" s="73"/>
      <c r="E17" s="74"/>
      <c r="F17" s="2"/>
      <c r="G17" s="2"/>
      <c r="H17" s="2"/>
      <c r="I17" s="2"/>
      <c r="J17" s="2"/>
    </row>
    <row r="18" spans="1:10" ht="18.75" x14ac:dyDescent="0.3">
      <c r="A18" s="8"/>
      <c r="B18" s="9"/>
      <c r="C18" s="73"/>
      <c r="D18" s="73"/>
      <c r="E18" s="74"/>
      <c r="F18" s="2"/>
      <c r="G18" s="2"/>
      <c r="H18" s="2"/>
      <c r="I18" s="2"/>
      <c r="J18" s="2"/>
    </row>
    <row r="19" spans="1:10" ht="18.75" x14ac:dyDescent="0.3">
      <c r="A19" s="8"/>
      <c r="B19" s="9"/>
      <c r="C19" s="73"/>
      <c r="D19" s="73"/>
      <c r="E19" s="74"/>
      <c r="F19" s="2"/>
      <c r="G19" s="2"/>
      <c r="H19" s="2"/>
      <c r="I19" s="2"/>
      <c r="J19" s="2"/>
    </row>
    <row r="20" spans="1:10" ht="18.75" x14ac:dyDescent="0.3">
      <c r="A20" s="8"/>
      <c r="B20" s="9"/>
      <c r="C20" s="73"/>
      <c r="D20" s="73"/>
      <c r="E20" s="74"/>
      <c r="F20" s="2"/>
      <c r="G20" s="2"/>
      <c r="H20" s="2"/>
      <c r="I20" s="2"/>
      <c r="J20" s="2"/>
    </row>
    <row r="21" spans="1:10" ht="18.75" x14ac:dyDescent="0.3">
      <c r="A21" s="8"/>
      <c r="B21" s="9"/>
      <c r="C21" s="73"/>
      <c r="D21" s="73"/>
      <c r="E21" s="74"/>
      <c r="F21" s="2"/>
      <c r="G21" s="2"/>
      <c r="H21" s="2"/>
      <c r="I21" s="2"/>
      <c r="J21" s="2"/>
    </row>
    <row r="22" spans="1:10" ht="18.75" x14ac:dyDescent="0.3">
      <c r="A22" s="8"/>
      <c r="B22" s="9"/>
      <c r="C22" s="73"/>
      <c r="D22" s="73"/>
      <c r="E22" s="74"/>
      <c r="F22" s="2"/>
      <c r="G22" s="2"/>
      <c r="H22" s="2"/>
      <c r="I22" s="2"/>
      <c r="J22" s="2"/>
    </row>
    <row r="23" spans="1:10" ht="18.75" x14ac:dyDescent="0.3">
      <c r="A23" s="8"/>
      <c r="B23" s="9"/>
      <c r="C23" s="73"/>
      <c r="D23" s="73"/>
      <c r="E23" s="74"/>
      <c r="F23" s="2"/>
      <c r="G23" s="2"/>
      <c r="H23" s="2"/>
      <c r="I23" s="2"/>
      <c r="J23" s="2"/>
    </row>
    <row r="24" spans="1:10" ht="18.75" x14ac:dyDescent="0.3">
      <c r="A24" s="8"/>
      <c r="B24" s="9"/>
      <c r="C24" s="73"/>
      <c r="D24" s="73"/>
      <c r="E24" s="74"/>
      <c r="F24" s="2"/>
      <c r="G24" s="2"/>
      <c r="H24" s="2"/>
      <c r="I24" s="2"/>
      <c r="J24" s="2"/>
    </row>
    <row r="25" spans="1:10" ht="18.75" x14ac:dyDescent="0.3">
      <c r="A25" s="8"/>
      <c r="B25" s="9"/>
      <c r="C25" s="73"/>
      <c r="D25" s="73"/>
      <c r="E25" s="74"/>
      <c r="F25" s="2"/>
      <c r="G25" s="2"/>
      <c r="H25" s="2"/>
      <c r="I25" s="2"/>
      <c r="J25" s="2"/>
    </row>
    <row r="26" spans="1:10" ht="18.75" x14ac:dyDescent="0.3">
      <c r="A26" s="8"/>
      <c r="B26" s="9"/>
      <c r="C26" s="73"/>
      <c r="D26" s="73"/>
      <c r="E26" s="74"/>
      <c r="F26" s="2"/>
      <c r="G26" s="2"/>
      <c r="H26" s="2"/>
      <c r="I26" s="2"/>
      <c r="J26" s="2"/>
    </row>
    <row r="27" spans="1:10" ht="18.75" x14ac:dyDescent="0.3">
      <c r="A27" s="8"/>
      <c r="B27" s="9"/>
      <c r="C27" s="73"/>
      <c r="D27" s="73"/>
      <c r="E27" s="74"/>
      <c r="F27" s="2"/>
      <c r="G27" s="2"/>
      <c r="H27" s="2"/>
      <c r="I27" s="2"/>
      <c r="J27" s="2"/>
    </row>
    <row r="28" spans="1:10" ht="18.75" x14ac:dyDescent="0.3">
      <c r="A28" s="8"/>
      <c r="B28" s="9"/>
      <c r="C28" s="73"/>
      <c r="D28" s="73"/>
      <c r="E28" s="74"/>
      <c r="F28" s="2"/>
      <c r="G28" s="2"/>
      <c r="H28" s="2"/>
      <c r="I28" s="2"/>
      <c r="J28" s="2"/>
    </row>
    <row r="29" spans="1:10" ht="18.75" x14ac:dyDescent="0.3">
      <c r="A29" s="8"/>
      <c r="B29" s="9"/>
      <c r="C29" s="73"/>
      <c r="D29" s="73"/>
      <c r="E29" s="74"/>
      <c r="F29" s="2"/>
      <c r="G29" s="2"/>
      <c r="H29" s="2"/>
      <c r="I29" s="2"/>
      <c r="J29" s="2"/>
    </row>
    <row r="30" spans="1:10" ht="18.75" x14ac:dyDescent="0.3">
      <c r="A30" s="8"/>
      <c r="B30" s="9"/>
      <c r="C30" s="73"/>
      <c r="D30" s="73"/>
      <c r="E30" s="74"/>
      <c r="F30" s="2"/>
      <c r="G30" s="2"/>
      <c r="H30" s="2"/>
      <c r="I30" s="2"/>
      <c r="J30" s="2"/>
    </row>
    <row r="31" spans="1:10" ht="18.75" x14ac:dyDescent="0.3">
      <c r="A31" s="8"/>
      <c r="B31" s="9"/>
      <c r="C31" s="73"/>
      <c r="D31" s="73"/>
      <c r="E31" s="74"/>
      <c r="F31" s="2"/>
      <c r="G31" s="2"/>
      <c r="H31" s="2"/>
      <c r="I31" s="2"/>
      <c r="J31" s="2"/>
    </row>
    <row r="32" spans="1:10" ht="18.75" x14ac:dyDescent="0.3">
      <c r="A32" s="8"/>
      <c r="B32" s="9"/>
      <c r="C32" s="73"/>
      <c r="D32" s="73"/>
      <c r="E32" s="74"/>
      <c r="F32" s="2"/>
      <c r="G32" s="2"/>
      <c r="H32" s="2"/>
      <c r="I32" s="2"/>
      <c r="J32" s="2"/>
    </row>
    <row r="33" spans="1:10" ht="18.75" x14ac:dyDescent="0.3">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workbookViewId="0">
      <selection activeCell="C8" sqref="C8"/>
    </sheetView>
  </sheetViews>
  <sheetFormatPr defaultRowHeight="15" x14ac:dyDescent="0.25"/>
  <cols>
    <col min="1" max="1" width="7.5703125" style="66" customWidth="1"/>
    <col min="2" max="2" width="14.85546875" style="61" customWidth="1"/>
    <col min="3" max="3" width="9.285156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75" x14ac:dyDescent="0.3">
      <c r="B3" s="58" t="s">
        <v>12</v>
      </c>
      <c r="C3" s="53">
        <f>SUM(C5:C2002)</f>
        <v>1250</v>
      </c>
    </row>
    <row r="4" spans="1:19" ht="37.5" x14ac:dyDescent="0.25">
      <c r="A4" s="4" t="s">
        <v>7</v>
      </c>
      <c r="B4" s="59" t="s">
        <v>1</v>
      </c>
      <c r="C4" s="54" t="s">
        <v>11</v>
      </c>
      <c r="D4" s="4" t="s">
        <v>4</v>
      </c>
      <c r="E4" s="5"/>
      <c r="F4" s="5"/>
      <c r="G4" s="5"/>
      <c r="H4" s="5"/>
      <c r="I4" s="5"/>
      <c r="J4" s="5"/>
      <c r="S4" t="s">
        <v>152</v>
      </c>
    </row>
    <row r="5" spans="1:19" ht="18.75" x14ac:dyDescent="0.3">
      <c r="A5" s="33">
        <v>1</v>
      </c>
      <c r="B5" s="60">
        <v>46023</v>
      </c>
      <c r="C5" s="55">
        <v>100</v>
      </c>
      <c r="D5" s="8" t="s">
        <v>246</v>
      </c>
      <c r="S5">
        <v>4</v>
      </c>
    </row>
    <row r="6" spans="1:19" ht="18.75" x14ac:dyDescent="0.3">
      <c r="A6" s="33">
        <v>2</v>
      </c>
      <c r="B6" s="60">
        <v>46035</v>
      </c>
      <c r="C6" s="55">
        <v>1100</v>
      </c>
      <c r="D6" s="8" t="s">
        <v>247</v>
      </c>
      <c r="E6" s="2"/>
      <c r="F6" s="2"/>
      <c r="G6" s="2"/>
      <c r="H6" s="2"/>
      <c r="I6" s="2"/>
      <c r="J6" s="2"/>
      <c r="S6">
        <v>3</v>
      </c>
    </row>
    <row r="7" spans="1:19" ht="18.75" x14ac:dyDescent="0.3">
      <c r="A7" s="33">
        <v>3</v>
      </c>
      <c r="B7" s="60">
        <v>46039</v>
      </c>
      <c r="C7" s="55">
        <v>50</v>
      </c>
      <c r="D7" s="8" t="s">
        <v>248</v>
      </c>
      <c r="E7" s="2"/>
      <c r="F7" s="2"/>
      <c r="G7" s="2"/>
      <c r="H7" s="2"/>
      <c r="I7" s="2"/>
      <c r="J7" s="2"/>
      <c r="S7">
        <v>1</v>
      </c>
    </row>
    <row r="8" spans="1:19" ht="18.75" x14ac:dyDescent="0.3">
      <c r="A8" s="33">
        <v>4</v>
      </c>
      <c r="B8" s="60"/>
      <c r="C8" s="55"/>
      <c r="D8" s="8"/>
      <c r="E8" s="2"/>
      <c r="F8" s="2"/>
      <c r="G8" s="2"/>
      <c r="H8" s="2"/>
      <c r="I8" s="2"/>
      <c r="J8" s="2"/>
      <c r="S8">
        <v>1</v>
      </c>
    </row>
    <row r="9" spans="1:19" ht="18.75" x14ac:dyDescent="0.3">
      <c r="A9" s="33">
        <v>5</v>
      </c>
      <c r="B9" s="60"/>
      <c r="C9" s="55"/>
      <c r="D9" s="8"/>
      <c r="S9">
        <v>2</v>
      </c>
    </row>
    <row r="10" spans="1:19" ht="18.75" x14ac:dyDescent="0.3">
      <c r="A10" s="33">
        <v>6</v>
      </c>
      <c r="B10" s="60"/>
      <c r="C10" s="55"/>
      <c r="D10" s="8"/>
      <c r="E10" s="2"/>
      <c r="F10" s="2"/>
      <c r="G10" s="2"/>
      <c r="H10" s="2"/>
      <c r="I10" s="2"/>
      <c r="J10" s="2"/>
      <c r="S10">
        <v>6</v>
      </c>
    </row>
    <row r="11" spans="1:19" ht="18.75" x14ac:dyDescent="0.3">
      <c r="A11" s="33">
        <v>7</v>
      </c>
      <c r="B11" s="60"/>
      <c r="C11" s="55"/>
      <c r="D11" s="8"/>
      <c r="E11" s="2"/>
      <c r="F11" s="2"/>
      <c r="G11" s="2"/>
      <c r="H11" s="2"/>
      <c r="I11" s="2"/>
      <c r="J11" s="2"/>
      <c r="S11">
        <v>1</v>
      </c>
    </row>
    <row r="12" spans="1:19" ht="18.75" x14ac:dyDescent="0.3">
      <c r="A12" s="33">
        <v>8</v>
      </c>
      <c r="B12" s="60"/>
      <c r="C12" s="55"/>
      <c r="D12" s="8"/>
      <c r="S12">
        <v>1</v>
      </c>
    </row>
    <row r="13" spans="1:19" ht="18.75" x14ac:dyDescent="0.3">
      <c r="A13" s="33">
        <v>9</v>
      </c>
      <c r="B13" s="60"/>
      <c r="C13" s="55"/>
      <c r="D13" s="8"/>
      <c r="S13">
        <v>4</v>
      </c>
    </row>
    <row r="14" spans="1:19" ht="18.75" x14ac:dyDescent="0.3">
      <c r="A14" s="33">
        <v>10</v>
      </c>
      <c r="B14" s="60"/>
      <c r="C14" s="55"/>
      <c r="D14" s="8"/>
      <c r="S14">
        <v>1</v>
      </c>
    </row>
    <row r="15" spans="1:19" ht="18.75" x14ac:dyDescent="0.3">
      <c r="A15" s="33">
        <v>11</v>
      </c>
      <c r="B15" s="60"/>
      <c r="C15" s="55"/>
      <c r="D15" s="8"/>
      <c r="E15" s="2"/>
      <c r="F15" s="2"/>
      <c r="G15" s="2"/>
      <c r="H15" s="2"/>
      <c r="I15" s="2"/>
      <c r="J15" s="2"/>
      <c r="S15">
        <v>6</v>
      </c>
    </row>
    <row r="16" spans="1:19" ht="18.75" x14ac:dyDescent="0.3">
      <c r="A16" s="33">
        <v>12</v>
      </c>
      <c r="B16" s="60"/>
      <c r="C16" s="55"/>
      <c r="D16" s="8"/>
      <c r="S16">
        <v>6</v>
      </c>
    </row>
    <row r="17" spans="1:19" ht="18.75" x14ac:dyDescent="0.3">
      <c r="A17" s="33">
        <v>13</v>
      </c>
      <c r="B17" s="60"/>
      <c r="C17" s="55"/>
      <c r="D17" s="8"/>
      <c r="E17" s="2"/>
      <c r="F17" s="2"/>
      <c r="G17" s="2"/>
      <c r="H17" s="2"/>
      <c r="I17" s="2"/>
      <c r="J17" s="2"/>
      <c r="S17">
        <v>1</v>
      </c>
    </row>
    <row r="18" spans="1:19" ht="18.75" x14ac:dyDescent="0.3">
      <c r="A18" s="33">
        <v>14</v>
      </c>
      <c r="B18" s="60"/>
      <c r="C18" s="55"/>
      <c r="D18" s="8"/>
      <c r="E18" s="2"/>
      <c r="F18" s="2"/>
      <c r="G18" s="2"/>
      <c r="H18" s="2"/>
      <c r="I18" s="2"/>
      <c r="J18" s="2"/>
      <c r="S18">
        <v>4</v>
      </c>
    </row>
    <row r="19" spans="1:19" ht="18.75" x14ac:dyDescent="0.3">
      <c r="A19" s="33">
        <v>15</v>
      </c>
      <c r="B19" s="60"/>
      <c r="C19" s="55"/>
      <c r="D19" s="8"/>
      <c r="I19" s="2"/>
      <c r="J19" s="2"/>
      <c r="S19">
        <v>6</v>
      </c>
    </row>
    <row r="20" spans="1:19" ht="18.75" x14ac:dyDescent="0.3">
      <c r="A20" s="33">
        <v>16</v>
      </c>
      <c r="B20" s="60"/>
      <c r="C20" s="55"/>
      <c r="D20" s="8"/>
      <c r="E20" s="2"/>
      <c r="F20" s="2"/>
      <c r="G20" s="2"/>
      <c r="H20" s="2"/>
      <c r="I20" s="2"/>
      <c r="J20" s="2"/>
      <c r="S20">
        <v>1</v>
      </c>
    </row>
    <row r="21" spans="1:19" ht="18.75" x14ac:dyDescent="0.3">
      <c r="A21" s="33">
        <v>17</v>
      </c>
      <c r="B21" s="60"/>
      <c r="C21" s="55"/>
      <c r="D21" s="8"/>
      <c r="E21" s="2"/>
      <c r="F21" s="2"/>
      <c r="G21" s="2"/>
      <c r="H21" s="2"/>
      <c r="I21" s="2"/>
      <c r="J21" s="2"/>
      <c r="S21">
        <v>1</v>
      </c>
    </row>
    <row r="22" spans="1:19" ht="18.75" x14ac:dyDescent="0.3">
      <c r="A22" s="33">
        <v>18</v>
      </c>
      <c r="B22" s="60"/>
      <c r="C22" s="55"/>
      <c r="D22" s="8"/>
      <c r="E22" s="2"/>
      <c r="F22" s="2"/>
      <c r="G22" s="2"/>
      <c r="H22" s="2"/>
      <c r="I22" s="2"/>
      <c r="J22" s="2"/>
      <c r="S22">
        <v>4</v>
      </c>
    </row>
    <row r="23" spans="1:19" ht="18.75" x14ac:dyDescent="0.3">
      <c r="A23" s="33">
        <v>19</v>
      </c>
      <c r="B23" s="60"/>
      <c r="C23" s="55"/>
      <c r="D23" s="8"/>
      <c r="E23" s="2"/>
      <c r="F23" s="2"/>
      <c r="G23" s="2"/>
      <c r="H23" s="2"/>
      <c r="I23" s="2"/>
      <c r="J23" s="2"/>
      <c r="S23">
        <v>4</v>
      </c>
    </row>
    <row r="24" spans="1:19" ht="18.75" x14ac:dyDescent="0.3">
      <c r="A24" s="33">
        <v>20</v>
      </c>
      <c r="B24" s="60"/>
      <c r="C24" s="55"/>
      <c r="D24" s="8"/>
      <c r="E24" s="2"/>
      <c r="F24" s="2"/>
      <c r="G24" s="2"/>
      <c r="H24" s="2"/>
      <c r="I24" s="2"/>
      <c r="J24" s="2"/>
      <c r="S24">
        <v>1</v>
      </c>
    </row>
    <row r="25" spans="1:19" ht="18.75" x14ac:dyDescent="0.3">
      <c r="A25" s="33">
        <v>21</v>
      </c>
      <c r="B25" s="60"/>
      <c r="C25" s="55"/>
      <c r="D25" s="8"/>
      <c r="E25" s="2"/>
      <c r="F25" s="2"/>
      <c r="G25" s="2"/>
      <c r="H25" s="2"/>
      <c r="I25" s="2"/>
      <c r="J25" s="2"/>
    </row>
    <row r="26" spans="1:19" ht="18.75" x14ac:dyDescent="0.3">
      <c r="A26" s="33">
        <v>22</v>
      </c>
      <c r="B26" s="60"/>
      <c r="C26" s="55"/>
      <c r="D26" s="8"/>
      <c r="I26" s="2"/>
      <c r="J26" s="2"/>
    </row>
    <row r="27" spans="1:19" ht="18.75" x14ac:dyDescent="0.3">
      <c r="A27" s="33">
        <v>23</v>
      </c>
      <c r="B27" s="60"/>
      <c r="C27" s="55"/>
      <c r="D27" s="8"/>
      <c r="E27" s="2"/>
      <c r="F27" s="2"/>
      <c r="G27" s="2"/>
      <c r="H27" s="2"/>
      <c r="I27" s="2"/>
      <c r="J27" s="2"/>
      <c r="S27">
        <v>6</v>
      </c>
    </row>
    <row r="28" spans="1:19" ht="18.75" x14ac:dyDescent="0.3">
      <c r="A28" s="33">
        <v>24</v>
      </c>
      <c r="B28" s="60"/>
      <c r="C28" s="55"/>
      <c r="D28" s="8"/>
      <c r="E28" s="2"/>
      <c r="F28" s="2"/>
      <c r="G28" s="2"/>
      <c r="H28" s="2"/>
      <c r="I28" s="2"/>
      <c r="J28" s="2"/>
    </row>
    <row r="29" spans="1:19" ht="18.75" x14ac:dyDescent="0.3">
      <c r="A29" s="33">
        <v>25</v>
      </c>
      <c r="B29" s="60"/>
      <c r="C29" s="55"/>
      <c r="D29" s="8"/>
      <c r="E29" s="2"/>
      <c r="F29" s="2"/>
      <c r="G29" s="2"/>
      <c r="H29" s="2"/>
      <c r="I29" s="2"/>
      <c r="J29" s="2"/>
    </row>
    <row r="30" spans="1:19" ht="18.75" x14ac:dyDescent="0.3">
      <c r="A30" s="33">
        <v>26</v>
      </c>
      <c r="B30" s="60"/>
      <c r="C30" s="55"/>
      <c r="D30" s="8"/>
      <c r="E30" s="2"/>
      <c r="F30" s="2"/>
      <c r="G30" s="2"/>
      <c r="H30" s="2"/>
      <c r="I30" s="2"/>
      <c r="J30" s="2"/>
    </row>
    <row r="31" spans="1:19" ht="18.75" x14ac:dyDescent="0.3">
      <c r="A31" s="33">
        <v>27</v>
      </c>
      <c r="B31" s="60"/>
      <c r="C31" s="55"/>
      <c r="D31" s="8"/>
      <c r="E31" s="2"/>
      <c r="F31" s="2"/>
      <c r="G31" s="2"/>
      <c r="H31" s="2"/>
      <c r="I31" s="2"/>
      <c r="J31" s="2"/>
    </row>
    <row r="32" spans="1:19" ht="18.75" x14ac:dyDescent="0.3">
      <c r="A32" s="33">
        <v>28</v>
      </c>
      <c r="B32" s="60"/>
      <c r="C32" s="55"/>
      <c r="D32" s="8"/>
      <c r="E32" s="2"/>
      <c r="F32" s="2"/>
      <c r="G32" s="2"/>
      <c r="H32" s="2"/>
      <c r="I32" s="2"/>
      <c r="J32" s="2"/>
    </row>
    <row r="33" spans="1:20" ht="18.75" x14ac:dyDescent="0.3">
      <c r="A33" s="33">
        <v>29</v>
      </c>
      <c r="B33" s="60"/>
      <c r="C33" s="55"/>
      <c r="D33" s="8"/>
      <c r="E33" s="2"/>
      <c r="F33" s="2"/>
      <c r="G33" s="2"/>
      <c r="H33" s="2"/>
      <c r="I33" s="2"/>
      <c r="J33" s="2"/>
      <c r="T33" t="s">
        <v>151</v>
      </c>
    </row>
    <row r="34" spans="1:20" ht="18.75" x14ac:dyDescent="0.3">
      <c r="A34" s="33">
        <v>30</v>
      </c>
      <c r="B34" s="60"/>
      <c r="C34" s="55"/>
      <c r="D34" s="8"/>
      <c r="E34" s="2"/>
      <c r="F34" s="2"/>
      <c r="G34" s="2"/>
      <c r="H34" s="2"/>
      <c r="I34" s="2"/>
      <c r="J34" s="2"/>
    </row>
    <row r="35" spans="1:20" ht="18.75" x14ac:dyDescent="0.3">
      <c r="A35" s="33">
        <v>31</v>
      </c>
      <c r="B35" s="60"/>
      <c r="C35" s="55"/>
      <c r="D35" s="8"/>
    </row>
    <row r="36" spans="1:20" ht="18.75" x14ac:dyDescent="0.3">
      <c r="A36" s="33">
        <v>32</v>
      </c>
      <c r="B36" s="60"/>
      <c r="C36" s="55"/>
      <c r="D36" s="8"/>
    </row>
    <row r="37" spans="1:20" ht="18.75" x14ac:dyDescent="0.3">
      <c r="A37" s="33">
        <v>33</v>
      </c>
      <c r="B37" s="96"/>
      <c r="C37" s="55"/>
      <c r="D37" s="8"/>
    </row>
    <row r="38" spans="1:20" ht="18.75" x14ac:dyDescent="0.3">
      <c r="A38" s="33">
        <v>34</v>
      </c>
      <c r="B38" s="60"/>
      <c r="C38" s="55"/>
      <c r="D38" s="8"/>
    </row>
    <row r="39" spans="1:20" ht="18.75" x14ac:dyDescent="0.3">
      <c r="A39" s="33">
        <v>35</v>
      </c>
      <c r="B39" s="60"/>
      <c r="C39" s="55"/>
      <c r="D39" s="8"/>
    </row>
    <row r="40" spans="1:20" ht="18.75" x14ac:dyDescent="0.3">
      <c r="A40" s="33">
        <v>36</v>
      </c>
      <c r="B40" s="60"/>
      <c r="C40" s="55"/>
      <c r="D40" s="8"/>
      <c r="E40" s="2"/>
    </row>
    <row r="41" spans="1:20" ht="18.75" x14ac:dyDescent="0.3">
      <c r="A41" s="33">
        <v>37</v>
      </c>
      <c r="B41" s="60"/>
      <c r="C41" s="55"/>
      <c r="D41" s="8"/>
    </row>
    <row r="42" spans="1:20" ht="18.75" x14ac:dyDescent="0.3">
      <c r="A42" s="33">
        <v>38</v>
      </c>
      <c r="B42" s="60"/>
      <c r="C42" s="55"/>
      <c r="D42" s="8"/>
    </row>
    <row r="43" spans="1:20" ht="18.75" x14ac:dyDescent="0.3">
      <c r="A43" s="33">
        <v>39</v>
      </c>
      <c r="B43" s="60"/>
      <c r="C43" s="55"/>
      <c r="D43" s="8"/>
    </row>
    <row r="44" spans="1:20" ht="18.75" x14ac:dyDescent="0.3">
      <c r="A44" s="33">
        <v>40</v>
      </c>
      <c r="B44" s="60"/>
      <c r="C44" s="55"/>
      <c r="D44" s="8"/>
    </row>
    <row r="45" spans="1:20" ht="18.75" x14ac:dyDescent="0.3">
      <c r="A45" s="33">
        <v>41</v>
      </c>
      <c r="B45" s="60"/>
      <c r="C45" s="55"/>
      <c r="D45" s="8"/>
    </row>
    <row r="46" spans="1:20" ht="18.75" x14ac:dyDescent="0.3">
      <c r="A46" s="33">
        <v>42</v>
      </c>
      <c r="B46" s="60"/>
      <c r="C46" s="55"/>
      <c r="D46" s="8"/>
    </row>
    <row r="47" spans="1:20" ht="18.75" x14ac:dyDescent="0.3">
      <c r="A47" s="33">
        <v>43</v>
      </c>
      <c r="B47" s="60"/>
      <c r="C47" s="55"/>
      <c r="D47" s="8"/>
    </row>
    <row r="48" spans="1:20" ht="18.75" x14ac:dyDescent="0.3">
      <c r="A48" s="33">
        <v>44</v>
      </c>
      <c r="B48" s="60"/>
      <c r="C48" s="55"/>
      <c r="D48" s="8"/>
    </row>
    <row r="49" spans="1:4" ht="18.75" x14ac:dyDescent="0.3">
      <c r="A49" s="33">
        <v>45</v>
      </c>
      <c r="B49" s="60"/>
      <c r="C49" s="55"/>
      <c r="D49" s="8"/>
    </row>
    <row r="50" spans="1:4" ht="18.75" x14ac:dyDescent="0.3">
      <c r="A50" s="33">
        <v>46</v>
      </c>
      <c r="B50" s="60"/>
      <c r="C50" s="55"/>
      <c r="D50" s="8"/>
    </row>
    <row r="51" spans="1:4" ht="18.75" x14ac:dyDescent="0.3">
      <c r="A51" s="33">
        <v>47</v>
      </c>
      <c r="B51" s="60"/>
      <c r="C51" s="55"/>
      <c r="D51" s="8"/>
    </row>
    <row r="52" spans="1:4" ht="18.75" x14ac:dyDescent="0.3">
      <c r="A52" s="33">
        <v>48</v>
      </c>
      <c r="B52" s="60"/>
      <c r="C52" s="55"/>
      <c r="D52" s="8"/>
    </row>
    <row r="53" spans="1:4" ht="18.75" x14ac:dyDescent="0.3">
      <c r="A53" s="33">
        <v>49</v>
      </c>
      <c r="B53" s="60"/>
      <c r="C53" s="55"/>
      <c r="D53" s="8"/>
    </row>
    <row r="54" spans="1:4" ht="18.75" x14ac:dyDescent="0.3">
      <c r="A54" s="33">
        <v>50</v>
      </c>
      <c r="B54" s="60"/>
      <c r="C54" s="55"/>
      <c r="D54" s="8"/>
    </row>
    <row r="55" spans="1:4" ht="18.75" x14ac:dyDescent="0.3">
      <c r="A55" s="33">
        <v>51</v>
      </c>
      <c r="B55" s="60"/>
      <c r="C55" s="55"/>
      <c r="D55" s="8"/>
    </row>
    <row r="56" spans="1:4" ht="18.75" x14ac:dyDescent="0.3">
      <c r="A56" s="33">
        <v>52</v>
      </c>
      <c r="B56" s="60"/>
      <c r="C56" s="55"/>
      <c r="D56" s="8"/>
    </row>
    <row r="57" spans="1:4" ht="18.75" x14ac:dyDescent="0.3">
      <c r="A57" s="33">
        <v>53</v>
      </c>
      <c r="B57" s="60"/>
      <c r="C57" s="55"/>
      <c r="D57" s="8"/>
    </row>
    <row r="58" spans="1:4" ht="18.75" x14ac:dyDescent="0.3">
      <c r="A58" s="33">
        <v>54</v>
      </c>
      <c r="B58" s="60"/>
      <c r="C58" s="55"/>
      <c r="D58" s="8"/>
    </row>
    <row r="59" spans="1:4" ht="18.75" x14ac:dyDescent="0.3">
      <c r="A59" s="33">
        <v>55</v>
      </c>
      <c r="B59" s="60"/>
      <c r="C59" s="55"/>
      <c r="D59" s="8"/>
    </row>
    <row r="60" spans="1:4" ht="18.75" x14ac:dyDescent="0.3">
      <c r="A60" s="33">
        <v>56</v>
      </c>
      <c r="B60" s="60"/>
      <c r="C60" s="55"/>
      <c r="D60" s="8"/>
    </row>
    <row r="61" spans="1:4" ht="18.75" x14ac:dyDescent="0.3">
      <c r="A61" s="33">
        <v>57</v>
      </c>
      <c r="B61" s="60"/>
      <c r="C61" s="55"/>
      <c r="D61" s="8"/>
    </row>
    <row r="62" spans="1:4" ht="18.75" x14ac:dyDescent="0.3">
      <c r="A62" s="33">
        <v>58</v>
      </c>
      <c r="B62" s="60"/>
      <c r="C62" s="55"/>
      <c r="D62" s="8"/>
    </row>
    <row r="63" spans="1:4" ht="18.75" x14ac:dyDescent="0.3">
      <c r="A63" s="33">
        <v>59</v>
      </c>
      <c r="B63" s="60"/>
      <c r="C63" s="55"/>
      <c r="D63" s="8"/>
    </row>
    <row r="64" spans="1:4" ht="18.75" x14ac:dyDescent="0.3">
      <c r="A64" s="33">
        <v>60</v>
      </c>
      <c r="B64" s="60"/>
      <c r="C64" s="55"/>
      <c r="D64" s="8"/>
    </row>
    <row r="65" spans="1:4" ht="18.75" x14ac:dyDescent="0.3">
      <c r="A65" s="33">
        <v>61</v>
      </c>
      <c r="B65" s="60"/>
      <c r="C65" s="55"/>
      <c r="D65" s="8"/>
    </row>
    <row r="66" spans="1:4" ht="18.75" x14ac:dyDescent="0.3">
      <c r="A66" s="33">
        <v>62</v>
      </c>
      <c r="B66" s="60"/>
      <c r="C66" s="55"/>
      <c r="D66" s="8"/>
    </row>
    <row r="67" spans="1:4" ht="18.75" x14ac:dyDescent="0.3">
      <c r="A67" s="33">
        <v>63</v>
      </c>
      <c r="B67" s="60"/>
      <c r="C67" s="55"/>
      <c r="D67" s="8"/>
    </row>
    <row r="68" spans="1:4" ht="18.75" x14ac:dyDescent="0.3">
      <c r="A68" s="33">
        <v>64</v>
      </c>
      <c r="B68" s="60"/>
      <c r="C68" s="55"/>
      <c r="D68" s="8"/>
    </row>
    <row r="69" spans="1:4" ht="18.75" x14ac:dyDescent="0.3">
      <c r="A69" s="33">
        <v>65</v>
      </c>
      <c r="B69" s="60"/>
      <c r="C69" s="55"/>
      <c r="D69" s="8"/>
    </row>
    <row r="70" spans="1:4" ht="18.75" x14ac:dyDescent="0.3">
      <c r="A70" s="33">
        <v>66</v>
      </c>
      <c r="B70" s="60"/>
      <c r="C70" s="55"/>
      <c r="D70" s="8"/>
    </row>
    <row r="71" spans="1:4" ht="18.75" x14ac:dyDescent="0.3">
      <c r="A71" s="33">
        <v>67</v>
      </c>
      <c r="B71" s="60"/>
      <c r="C71" s="55"/>
      <c r="D71" s="8"/>
    </row>
    <row r="72" spans="1:4" ht="18.75" x14ac:dyDescent="0.3">
      <c r="A72" s="33">
        <v>68</v>
      </c>
      <c r="B72" s="60"/>
      <c r="C72" s="55"/>
      <c r="D72" s="8"/>
    </row>
    <row r="73" spans="1:4" ht="18.75" x14ac:dyDescent="0.3">
      <c r="A73" s="33">
        <v>69</v>
      </c>
      <c r="B73" s="60"/>
      <c r="C73" s="55"/>
      <c r="D73" s="8"/>
    </row>
    <row r="74" spans="1:4" ht="18.75" x14ac:dyDescent="0.3">
      <c r="A74" s="33">
        <v>70</v>
      </c>
      <c r="B74" s="60"/>
      <c r="C74" s="55"/>
      <c r="D74" s="8"/>
    </row>
    <row r="75" spans="1:4" ht="18.75" x14ac:dyDescent="0.3">
      <c r="A75" s="33">
        <v>71</v>
      </c>
      <c r="B75" s="60"/>
      <c r="C75" s="55"/>
      <c r="D75" s="8"/>
    </row>
    <row r="76" spans="1:4" ht="18.75" x14ac:dyDescent="0.3">
      <c r="A76" s="33">
        <v>72</v>
      </c>
      <c r="B76" s="60"/>
      <c r="C76" s="55"/>
      <c r="D76" s="8"/>
    </row>
    <row r="77" spans="1:4" ht="18.75" x14ac:dyDescent="0.3">
      <c r="A77" s="33">
        <v>73</v>
      </c>
      <c r="B77" s="60"/>
      <c r="C77" s="55"/>
      <c r="D77" s="8"/>
    </row>
    <row r="78" spans="1:4" ht="18.75" x14ac:dyDescent="0.3">
      <c r="A78" s="33">
        <v>74</v>
      </c>
      <c r="B78" s="60"/>
      <c r="C78" s="55"/>
      <c r="D78" s="8"/>
    </row>
    <row r="79" spans="1:4" ht="18.75" x14ac:dyDescent="0.3">
      <c r="A79" s="33">
        <v>75</v>
      </c>
      <c r="B79" s="60"/>
      <c r="C79" s="55"/>
      <c r="D79" s="8"/>
    </row>
    <row r="80" spans="1:4" ht="18.75" x14ac:dyDescent="0.3">
      <c r="A80" s="33">
        <v>76</v>
      </c>
      <c r="B80" s="60"/>
      <c r="C80" s="55"/>
      <c r="D80" s="8"/>
    </row>
    <row r="81" spans="1:4" ht="18.75" x14ac:dyDescent="0.3">
      <c r="A81" s="33">
        <v>77</v>
      </c>
      <c r="B81" s="60"/>
      <c r="C81" s="55"/>
      <c r="D81" s="8"/>
    </row>
    <row r="82" spans="1:4" ht="18.75" x14ac:dyDescent="0.3">
      <c r="A82" s="33">
        <v>78</v>
      </c>
      <c r="B82" s="60"/>
      <c r="C82" s="97"/>
      <c r="D82" s="8"/>
    </row>
    <row r="83" spans="1:4" ht="18.75" x14ac:dyDescent="0.3">
      <c r="A83" s="33">
        <v>79</v>
      </c>
      <c r="B83" s="60"/>
      <c r="C83" s="55"/>
      <c r="D83" s="8"/>
    </row>
    <row r="84" spans="1:4" ht="18.75" x14ac:dyDescent="0.3">
      <c r="A84" s="33">
        <v>80</v>
      </c>
      <c r="B84" s="60"/>
      <c r="C84" s="55"/>
      <c r="D84" s="8"/>
    </row>
    <row r="85" spans="1:4" ht="18.75" x14ac:dyDescent="0.3">
      <c r="A85" s="33">
        <v>81</v>
      </c>
      <c r="B85" s="60"/>
      <c r="C85" s="55"/>
      <c r="D85" s="8"/>
    </row>
    <row r="86" spans="1:4" ht="18.75" x14ac:dyDescent="0.3">
      <c r="A86" s="33">
        <v>82</v>
      </c>
      <c r="B86" s="60"/>
      <c r="C86" s="55"/>
      <c r="D86" s="8"/>
    </row>
    <row r="87" spans="1:4" ht="18.75" x14ac:dyDescent="0.3">
      <c r="A87" s="33">
        <v>83</v>
      </c>
      <c r="B87" s="60"/>
      <c r="C87" s="55"/>
      <c r="D87" s="8"/>
    </row>
    <row r="88" spans="1:4" ht="18.75" x14ac:dyDescent="0.3">
      <c r="A88" s="33">
        <v>84</v>
      </c>
      <c r="B88" s="60"/>
      <c r="C88" s="55"/>
      <c r="D88" s="8"/>
    </row>
    <row r="89" spans="1:4" ht="18.75" x14ac:dyDescent="0.3">
      <c r="A89" s="33">
        <v>85</v>
      </c>
      <c r="B89" s="60"/>
      <c r="C89" s="55"/>
      <c r="D89" s="8"/>
    </row>
    <row r="90" spans="1:4" ht="18.75" x14ac:dyDescent="0.3">
      <c r="A90" s="33">
        <v>86</v>
      </c>
      <c r="B90" s="60"/>
      <c r="C90" s="55"/>
      <c r="D90" s="8"/>
    </row>
    <row r="91" spans="1:4" ht="18.75" x14ac:dyDescent="0.3">
      <c r="A91" s="33">
        <v>87</v>
      </c>
      <c r="B91" s="60"/>
      <c r="C91" s="55"/>
      <c r="D91" s="8"/>
    </row>
    <row r="92" spans="1:4" ht="18.75" x14ac:dyDescent="0.3">
      <c r="A92" s="33">
        <v>88</v>
      </c>
      <c r="B92" s="60"/>
      <c r="C92" s="55"/>
      <c r="D92" s="8"/>
    </row>
    <row r="93" spans="1:4" ht="18.75" x14ac:dyDescent="0.3">
      <c r="A93" s="33">
        <v>89</v>
      </c>
      <c r="B93" s="60"/>
      <c r="C93" s="55"/>
      <c r="D93" s="8"/>
    </row>
    <row r="94" spans="1:4" ht="18.75" x14ac:dyDescent="0.3">
      <c r="A94" s="33">
        <v>90</v>
      </c>
      <c r="B94" s="60"/>
      <c r="C94" s="55"/>
      <c r="D94" s="8"/>
    </row>
    <row r="95" spans="1:4" ht="18.75" x14ac:dyDescent="0.3">
      <c r="A95" s="33">
        <v>91</v>
      </c>
      <c r="B95" s="60"/>
      <c r="C95" s="55"/>
      <c r="D95" s="8"/>
    </row>
    <row r="96" spans="1:4" ht="18.75" x14ac:dyDescent="0.3">
      <c r="A96" s="33">
        <v>92</v>
      </c>
      <c r="B96" s="60"/>
      <c r="C96" s="55"/>
      <c r="D96" s="8"/>
    </row>
    <row r="97" spans="1:4" ht="18.75" x14ac:dyDescent="0.3">
      <c r="A97" s="33">
        <v>93</v>
      </c>
      <c r="B97" s="60"/>
      <c r="C97" s="55"/>
      <c r="D97" s="8"/>
    </row>
    <row r="98" spans="1:4" ht="18.75" x14ac:dyDescent="0.3">
      <c r="A98" s="33">
        <v>94</v>
      </c>
      <c r="B98" s="60"/>
      <c r="C98" s="97"/>
      <c r="D98" s="8"/>
    </row>
    <row r="99" spans="1:4" ht="18.75" x14ac:dyDescent="0.3">
      <c r="A99" s="33">
        <v>95</v>
      </c>
      <c r="B99" s="60"/>
      <c r="C99" s="55"/>
      <c r="D99" s="8"/>
    </row>
    <row r="100" spans="1:4" ht="18.75" x14ac:dyDescent="0.3">
      <c r="A100" s="33">
        <v>96</v>
      </c>
      <c r="B100" s="60"/>
      <c r="C100" s="55"/>
      <c r="D100" s="8"/>
    </row>
    <row r="101" spans="1:4" ht="18.75" x14ac:dyDescent="0.3">
      <c r="A101" s="33">
        <v>97</v>
      </c>
      <c r="B101" s="60"/>
      <c r="C101" s="55"/>
      <c r="D101" s="8"/>
    </row>
    <row r="102" spans="1:4" ht="18.75" x14ac:dyDescent="0.3">
      <c r="A102" s="33">
        <v>98</v>
      </c>
      <c r="B102" s="60"/>
      <c r="C102" s="55"/>
      <c r="D102" s="8"/>
    </row>
    <row r="103" spans="1:4" ht="18.75" x14ac:dyDescent="0.3">
      <c r="A103" s="33">
        <v>99</v>
      </c>
      <c r="B103" s="60"/>
      <c r="C103" s="55"/>
      <c r="D103" s="8"/>
    </row>
    <row r="104" spans="1:4" ht="18.75" x14ac:dyDescent="0.3">
      <c r="A104" s="33">
        <v>100</v>
      </c>
      <c r="B104" s="60"/>
      <c r="C104" s="55"/>
      <c r="D104" s="8"/>
    </row>
    <row r="105" spans="1:4" ht="18.75" x14ac:dyDescent="0.3">
      <c r="B105" s="60"/>
      <c r="C105" s="55"/>
      <c r="D105" s="8"/>
    </row>
    <row r="106" spans="1:4" ht="18.75" x14ac:dyDescent="0.3">
      <c r="B106" s="60"/>
      <c r="C106" s="55"/>
      <c r="D106" s="8"/>
    </row>
    <row r="107" spans="1:4" ht="18.75" x14ac:dyDescent="0.3">
      <c r="B107" s="60"/>
      <c r="C107" s="55"/>
      <c r="D107" s="8"/>
    </row>
    <row r="108" spans="1:4" ht="18.75" x14ac:dyDescent="0.3">
      <c r="B108" s="60"/>
      <c r="C108" s="55"/>
      <c r="D108" s="8"/>
    </row>
    <row r="109" spans="1:4" ht="18.75" x14ac:dyDescent="0.3">
      <c r="B109" s="60"/>
      <c r="C109" s="55"/>
      <c r="D109" s="8"/>
    </row>
    <row r="110" spans="1:4" ht="18.75" x14ac:dyDescent="0.3">
      <c r="C110" s="55"/>
      <c r="D110" s="8"/>
    </row>
    <row r="111" spans="1:4" ht="18.75" x14ac:dyDescent="0.3">
      <c r="C111" s="55"/>
    </row>
    <row r="112" spans="1:4" ht="18.75" x14ac:dyDescent="0.3">
      <c r="C112" s="55"/>
    </row>
    <row r="113" spans="3:3" ht="18.75" x14ac:dyDescent="0.3">
      <c r="C113" s="55"/>
    </row>
    <row r="114" spans="3:3" ht="18.75" x14ac:dyDescent="0.3">
      <c r="C114" s="55"/>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5" x14ac:dyDescent="0.25"/>
  <sheetData>
    <row r="1" spans="1:2" x14ac:dyDescent="0.25">
      <c r="A1" t="s">
        <v>152</v>
      </c>
    </row>
    <row r="2" spans="1:2" x14ac:dyDescent="0.25">
      <c r="A2">
        <v>1</v>
      </c>
      <c r="B2" t="s">
        <v>147</v>
      </c>
    </row>
    <row r="3" spans="1:2" x14ac:dyDescent="0.25">
      <c r="A3">
        <v>2</v>
      </c>
      <c r="B3" t="s">
        <v>146</v>
      </c>
    </row>
    <row r="4" spans="1:2" x14ac:dyDescent="0.25">
      <c r="A4">
        <v>3</v>
      </c>
      <c r="B4" t="s">
        <v>144</v>
      </c>
    </row>
    <row r="5" spans="1:2" x14ac:dyDescent="0.25">
      <c r="A5">
        <v>4</v>
      </c>
      <c r="B5" t="s">
        <v>145</v>
      </c>
    </row>
    <row r="6" spans="1:2" x14ac:dyDescent="0.25">
      <c r="A6">
        <v>5</v>
      </c>
      <c r="B6" t="s">
        <v>148</v>
      </c>
    </row>
    <row r="7" spans="1:2" x14ac:dyDescent="0.25">
      <c r="A7">
        <v>6</v>
      </c>
      <c r="B7" t="s">
        <v>149</v>
      </c>
    </row>
    <row r="8" spans="1:2" x14ac:dyDescent="0.25">
      <c r="A8">
        <v>7</v>
      </c>
      <c r="B8" t="s">
        <v>150</v>
      </c>
    </row>
    <row r="9" spans="1:2" x14ac:dyDescent="0.25">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5" x14ac:dyDescent="0.25"/>
  <sheetData>
    <row r="6" spans="8:11" x14ac:dyDescent="0.25">
      <c r="I6" t="s">
        <v>215</v>
      </c>
      <c r="J6" t="s">
        <v>214</v>
      </c>
    </row>
    <row r="7" spans="8:11" x14ac:dyDescent="0.25">
      <c r="H7" t="s">
        <v>187</v>
      </c>
      <c r="I7">
        <v>1200</v>
      </c>
    </row>
    <row r="8" spans="8:11" x14ac:dyDescent="0.25">
      <c r="H8" t="s">
        <v>147</v>
      </c>
      <c r="J8">
        <v>1434</v>
      </c>
    </row>
    <row r="9" spans="8:11" x14ac:dyDescent="0.25">
      <c r="H9" t="s">
        <v>216</v>
      </c>
      <c r="J9">
        <v>18</v>
      </c>
    </row>
    <row r="11" spans="8:11" x14ac:dyDescent="0.25">
      <c r="H11" t="s">
        <v>217</v>
      </c>
      <c r="I11">
        <f>SUM(I7:I10)</f>
        <v>1200</v>
      </c>
      <c r="J11">
        <f>SUM(J7:J10)</f>
        <v>1452</v>
      </c>
    </row>
    <row r="12" spans="8:11" x14ac:dyDescent="0.25">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2026-01-17T18:13:59Z</dcterms:modified>
</cp:coreProperties>
</file>
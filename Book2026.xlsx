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490D07FC-EB9B-4D4E-834B-8378B098FC67}" xr6:coauthVersionLast="47" xr6:coauthVersionMax="47" xr10:uidLastSave="{00000000-0000-0000-0000-000000000000}"/>
  <bookViews>
    <workbookView xWindow="-120" yWindow="-120" windowWidth="20730" windowHeight="11160" tabRatio="947" firstSheet="13"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<sst xmlns="http://schemas.openxmlformats.org/spreadsheetml/2006/main" count="876" uniqueCount="309">
  <si>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</si>
  <si>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</si>
  <si>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</si>
  <si>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</si>
  <si>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</si>
  <si>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</si>
  <si>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</si>
  <si>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</si>
  <si>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</si>
  <si>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</si>
  <si>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</si>
  <si>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</si>
  <si>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</si>
  <si>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</si>
  <si>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</si>
  <si>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</si>
  <si>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</si>
  <si>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</si>
  <si>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</si>
  <si>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</si>
  <si>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</si>
  <si>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</si>
  <si>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</si>
  <si>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</si>
  <si>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</si>
  <si>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</si>
  <si>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</si>
  <si>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</si>
  <si>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</si>
  <si>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</si>
  <si>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</si>
  <si>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</si>
  <si>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</si>
  <si>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</si>
  <si>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</si>
  <si>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</si>
  <si>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</si>
  <si>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</si>
  <si>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</si>
  <si>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</si>
  <si>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</si>
  <si>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</si>
  <si>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</si>
  <si>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</si>
  <si>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</si>
  <si>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</si>
  <si>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</si>
  <si>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</si>
  <si>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</si>
  <si>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</si>
  <si>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</si>
  <si>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</si>
  <si>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</si>
  <si>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</si>
  <si>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</si>
  <si>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</si>
  <si>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</si>
  <si>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</si>
  <si>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</si>
  <si>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</si>
  <si>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</si>
  <si>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</si>
  <si>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</si>
  <si>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</si>
  <si>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</si>
  <si>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</si>
  <si>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</si>
  <si>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</si>
  <si>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</si>
  <si>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</si>
  <si>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</si>
  <si>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</si>
  <si>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</si>
  <si>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</si>
  <si>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</si>
  <si>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</si>
  <si>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</si>
  <si>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</si>
  <si>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</si>
  <si>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</si>
  <si>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</si>
  <si>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</si>
  <si>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</si>
  <si>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</si>
  <si>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</si>
  <si>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</si>
  <si>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</si>
  <si>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</si>
  <si>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</si>
  <si>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</si>
  <si>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</si>
  <si>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</si>
  <si>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</si>
  <si>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</si>
  <si>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</si>
  <si>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</si>
  <si>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</si>
  <si>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</si>
  <si>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</si>
  <si>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</si>
  <si>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</si>
  <si>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</si>
  <si>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</si>
  <si>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</si>
  <si>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</si>
  <si>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</si>
  <si>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</si>
  <si>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</si>
  <si>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</si>
  <si>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</si>
  <si>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</si>
  <si>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</si>
  <si>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</si>
  <si>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</si>
  <si>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</si>
  <si>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</si>
  <si>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</si>
  <si>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</si>
  <si>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</si>
  <si>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</si>
  <si>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</si>
  <si>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</si>
  <si>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</si>
  <si>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</si>
  <si>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</si>
  <si>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</si>
  <si>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</si>
  <si>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</si>
  <si>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</si>
  <si>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</si>
  <si>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</si>
  <si>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</si>
  <si>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</si>
  <si>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</si>
  <si>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</si>
  <si>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</si>
  <si>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</si>
  <si>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</si>
  <si>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</si>
  <si>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</si>
  <si>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</si>
  <si>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</si>
  <si>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</si>
  <si>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</si>
  <si>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</si>
  <si>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</si>
  <si>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</si>
  <si>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</si>
  <si>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</si>
  <si>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</si>
  <si>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</si>
  <si>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</si>
  <si>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</si>
  <si>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</si>
  <si>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</si>
  <si>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</si>
  <si>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</si>
  <si>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</si>
  <si>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</si>
  <si>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</si>
  <si>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</si>
  <si>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</si>
  <si>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</si>
  <si>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</si>
  <si>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</si>
  <si>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</si>
  <si>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</si>
  <si>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</si>
  <si>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</si>
  <si>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</si>
  <si>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</si>
  <si>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</si>
  <si>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</si>
  <si>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</si>
  <si>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</si>
  <si>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</si>
  <si>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</si>
  <si>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</si>
  <si>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</si>
  <si>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</si>
  <si>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</si>
  <si>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</si>
  <si>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</si>
  <si>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</si>
  <si>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</si>
  <si>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</si>
  <si>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</si>
  <si>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</si>
  <si>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</si>
  <si>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</si>
  <si>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</si>
  <si>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</si>
  <si>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</si>
  <si>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</si>
  <si>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</si>
  <si>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</si>
  <si>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</si>
  <si>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</si>
  <si>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</si>
  <si>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</si>
  <si>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</si>
  <si>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</si>
  <si>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</si>
  <si>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</si>
  <si>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</si>
  <si>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</si>
  <si>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</si>
  <si>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</si>
  <si>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</si>
  <si>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</si>
  <si>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</si>
  <si>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</si>
  <si>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</si>
  <si>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</si>
  <si>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</si>
  <si>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</si>
  <si>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</si>
  <si>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</si>
  <si>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</si>
  <si>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</si>
  <si>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</si>
  <si>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</si>
  <si>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</si>
  <si>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</si>
  <si>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</si>
  <si>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</si>
  <si>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</si>
  <si>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</si>
  <si>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</si>
  <si>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</si>
  <si>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</si>
  <si>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</si>
  <si>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</si>
  <si>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</si>
  <si>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</si>
  <si>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</si>
  <si>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</si>
  <si>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</si>
  <si>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</si>
  <si>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</si>
  <si>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</si>
  <si>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</si>
  <si>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</si>
  <si>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</si>
  <si>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</si>
  <si>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</si>
  <si>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</si>
  <si>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</si>
  <si>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</si>
  <si>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</si>
  <si>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</si>
  <si>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</si>
  <si>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</si>
  <si>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</si>
  <si>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</si>
  <si>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</si>
  <si>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</si>
  <si>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</si>
  <si>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</si>
  <si>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</si>
  <si>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</si>
  <si>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</si>
  <si>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</si>
  <si>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</si>
  <si>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</si>
  <si>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</si>
  <si>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</si>
  <si>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</si>
  <si>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</si>
  <si>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</si>
  <si>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</si>
  <si>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</si>
  <si>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</si>
  <si>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</si>
  <si>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</si>
  <si>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</si>
  <si>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</si>
  <si>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</si>
  <si>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</si>
  <si>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</si>
  <si>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</si>
  <si>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</si>
  <si>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</si>
  <si>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</si>
  <si>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</si>
  <si>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</si>
  <si>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</si>
  <si>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</si>
  <si>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</si>
  <si>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</si>
  <si>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</si>
  <si>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</si>
  <si>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</si>
  <si>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</si>
  <si>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</si>
  <si>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</si>
  <si>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</si>
  <si>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</si>
  <si>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</si>
  <si>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</si>
  <si>
    <t xml:space="preserve">تحت حساب صيانة شهور ابريل - مايو - يونية - يولية / 2026 </t>
  </si>
  <si>
    <t>تحت حساب فوائد شهادة  رقم 1807951149146700023 بتاريخ اصدار 21- ديسمبر - 2025 بفائدة 14%، عن شهر يولية / 2026</t>
  </si>
  <si>
    <t>تحت حساب فوائد شهادة  رقم 1807581149146700038 بتاريخ اصدار 4- يناير - 2026 بفائدة 19.25%، عن شهر يوليه / 2026</t>
  </si>
  <si>
    <t>تحت حساب نظافة السلم لام احمد عن شهر يولية /2026</t>
  </si>
  <si>
    <t>تحت حساب صيانة شهر يونية ويولية /2026</t>
  </si>
  <si>
    <t>تحت حساب صيانة شهر أغسطس /2026</t>
  </si>
  <si>
    <t>تحت حساب فوائد شهادة  رقم 1807951149146700023 بتاريخ اصدار 21- ديسمبر - 2025 بفائدة 14%، عن شهر اغسطس / 2026</t>
  </si>
  <si>
    <t>تحت حساب صيانة شهر اغسطس / 2026</t>
  </si>
  <si>
    <t>تحت حساب فاتورة المياه عن شهر اغسطس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</si>
</sst>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9">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4" tint="0.59999389629810485"/>
        <bgColor theme="4" tint="0.59999389629810485"/>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style="thin">
        <color theme="0"/>
      </left>
      <right style="thin">
        <color theme="0"/>
      </right>
      <top style="thin">
        <color theme="0"/>
      </top>
      <bottom style="thin">
        <color theme="0"/>
      </bottom>
      <diagonal/>
    </border>
  </borders>
  <cellStyleXfs count="1">
    <xf numFmtId="0" fontId="0" fillId="0" borderId="0"/>
  </cellStyleXfs>
  <cellXfs count="112">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164" fontId="1" fillId="8" borderId="7" xfId="0" applyNumberFormat="1" applyFont="1" applyFill="1" applyBorder="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9" t="s">
        <v>117</v>
      </c>
      <c r="D2" s="99"/>
      <c r="E2" s="99"/>
      <c r="F2" s="99"/>
      <c r="G2" s="99"/>
      <c r="H2" s="99"/>
      <c r="I2" s="99"/>
      <c r="J2" s="99"/>
      <c r="K2" s="99"/>
      <c r="L2" s="99"/>
      <c r="M2" s="99"/>
      <c r="N2" s="99"/>
      <c r="O2" s="99"/>
      <c r="P2" s="99"/>
      <c r="Q2" s="99"/>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212</v>
      </c>
      <c r="D2" s="100"/>
      <c r="E2" s="100"/>
      <c r="F2" s="100"/>
      <c r="G2" s="100"/>
      <c r="H2" s="100"/>
      <c r="I2" s="100"/>
      <c r="J2" s="100"/>
      <c r="K2" s="100"/>
      <c r="L2" s="100"/>
      <c r="M2" s="100"/>
      <c r="N2" s="100"/>
      <c r="O2" s="19"/>
    </row>
    <row r="3" spans="1:17" ht="20.25" x14ac:dyDescent="0.25">
      <c r="C3" s="83"/>
      <c r="F3" s="101" t="s">
        <v>236</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185</v>
      </c>
      <c r="D2" s="100"/>
      <c r="E2" s="100"/>
      <c r="F2" s="100"/>
      <c r="G2" s="100"/>
      <c r="H2" s="100"/>
      <c r="I2" s="100"/>
      <c r="J2" s="100"/>
      <c r="K2" s="100"/>
      <c r="L2" s="100"/>
      <c r="M2" s="100"/>
      <c r="N2" s="100"/>
      <c r="O2" s="19"/>
    </row>
    <row r="3" spans="1:17" ht="20.25" x14ac:dyDescent="0.25">
      <c r="C3" s="83"/>
      <c r="F3" s="101" t="s">
        <v>188</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9" t="s">
        <v>36</v>
      </c>
      <c r="C2" s="99"/>
      <c r="D2" s="99"/>
      <c r="E2" s="99"/>
      <c r="F2" s="99"/>
      <c r="G2" s="99"/>
      <c r="H2" s="99"/>
      <c r="I2" s="99"/>
      <c r="J2" s="99"/>
      <c r="K2" s="99"/>
      <c r="L2" s="99"/>
      <c r="M2" s="99"/>
      <c r="N2" s="99"/>
      <c r="O2" s="99"/>
      <c r="P2" s="99"/>
      <c r="Q2" s="99"/>
      <c r="R2" s="99"/>
      <c r="S2" s="99"/>
      <c r="T2" s="99"/>
      <c r="U2" s="99"/>
      <c r="V2" s="99"/>
      <c r="W2" s="99"/>
      <c r="X2" s="99"/>
      <c r="Y2" s="99"/>
      <c r="Z2" s="99"/>
      <c r="AA2" s="99"/>
      <c r="AB2" s="99"/>
      <c r="AC2" s="99"/>
      <c r="AD2" s="99"/>
      <c r="AE2" s="99"/>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2" t="s">
        <v>140</v>
      </c>
      <c r="D1" s="102"/>
      <c r="E1" s="102"/>
      <c r="F1" s="102"/>
      <c r="G1" s="102"/>
      <c r="H1" s="102"/>
      <c r="I1" s="102"/>
      <c r="J1" s="102"/>
      <c r="K1" s="102"/>
      <c r="L1" s="102"/>
      <c r="M1" s="102"/>
      <c r="N1" s="102"/>
      <c r="O1" s="102"/>
    </row>
    <row r="2" spans="1:20" ht="26.25" x14ac:dyDescent="0.4">
      <c r="B2" s="18"/>
      <c r="C2" s="99"/>
      <c r="D2" s="99"/>
      <c r="E2" s="99"/>
      <c r="F2" s="99"/>
      <c r="G2" s="99"/>
      <c r="H2" s="99"/>
      <c r="I2" s="99"/>
      <c r="J2" s="99"/>
      <c r="K2" s="99"/>
      <c r="L2" s="99"/>
      <c r="M2" s="99"/>
      <c r="N2" s="99"/>
      <c r="O2" s="99"/>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150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150</v>
      </c>
      <c r="N10" s="26">
        <f>Apartment12!D10</f>
        <v>250</v>
      </c>
      <c r="O10" s="26">
        <f>Apartment13!D10</f>
        <v>150</v>
      </c>
      <c r="P10" s="26">
        <f>Apartment14!D10</f>
        <v>150</v>
      </c>
    </row>
    <row r="11" spans="1:20" ht="23.25" x14ac:dyDescent="0.35">
      <c r="A11" s="8"/>
      <c r="B11" s="25">
        <v>6</v>
      </c>
      <c r="C11" s="26">
        <f>Apartment1!D11</f>
        <v>150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150</v>
      </c>
      <c r="N11" s="26">
        <f>Apartment12!D11</f>
        <v>250</v>
      </c>
      <c r="O11" s="26">
        <f>Apartment13!D11</f>
        <v>0</v>
      </c>
      <c r="P11" s="26">
        <f>Apartment14!D11</f>
        <v>0</v>
      </c>
    </row>
    <row r="12" spans="1:20" ht="23.25" x14ac:dyDescent="0.35">
      <c r="A12" s="8"/>
      <c r="B12" s="25">
        <v>7</v>
      </c>
      <c r="C12" s="26">
        <f>Apartment1!D12</f>
        <v>150</v>
      </c>
      <c r="D12" s="26">
        <f>Apartment2!D12</f>
        <v>150</v>
      </c>
      <c r="E12" s="26">
        <f>Apartment3!D12</f>
        <v>150</v>
      </c>
      <c r="F12" s="26">
        <f>Apartment4!D12</f>
        <v>150</v>
      </c>
      <c r="G12" s="26">
        <f>Apartment5!D12</f>
        <v>0</v>
      </c>
      <c r="H12" s="26">
        <f>Apartment6!D12</f>
        <v>300</v>
      </c>
      <c r="I12" s="26">
        <f>Apartment7!D12</f>
        <v>300</v>
      </c>
      <c r="J12" s="26">
        <f>Apartment8!D12</f>
        <v>0</v>
      </c>
      <c r="K12" s="26">
        <f>Apartment9!D12</f>
        <v>0</v>
      </c>
      <c r="L12" s="26">
        <f>Apartment10!D12</f>
        <v>150</v>
      </c>
      <c r="M12" s="26">
        <f>Apartment11!D12</f>
        <v>150</v>
      </c>
      <c r="N12" s="26">
        <f>Apartment12!D12</f>
        <v>250</v>
      </c>
      <c r="O12" s="26">
        <f>Apartment13!D12</f>
        <v>0</v>
      </c>
      <c r="P12" s="26">
        <f>Apartment14!D12</f>
        <v>0</v>
      </c>
    </row>
    <row r="13" spans="1:20" ht="23.25" x14ac:dyDescent="0.35">
      <c r="A13" s="8"/>
      <c r="B13" s="25">
        <v>8</v>
      </c>
      <c r="C13" s="26">
        <f>Apartment1!D13</f>
        <v>0</v>
      </c>
      <c r="D13" s="26">
        <f>Apartment2!D13</f>
        <v>150</v>
      </c>
      <c r="E13" s="26">
        <f>Apartment3!D13</f>
        <v>150</v>
      </c>
      <c r="F13" s="26">
        <f>Apartment4!D13</f>
        <v>150</v>
      </c>
      <c r="G13" s="26">
        <f>Apartment5!D13</f>
        <v>0</v>
      </c>
      <c r="H13" s="26">
        <f>Apartment6!D13</f>
        <v>300</v>
      </c>
      <c r="I13" s="26">
        <f>Apartment7!D13</f>
        <v>300</v>
      </c>
      <c r="J13" s="26">
        <f>Apartment8!D13</f>
        <v>0</v>
      </c>
      <c r="K13" s="26">
        <f>Apartment9!D13</f>
        <v>0</v>
      </c>
      <c r="L13" s="26">
        <f>Apartment10!D13</f>
        <v>150</v>
      </c>
      <c r="M13" s="26">
        <f>Apartment11!D13</f>
        <v>0</v>
      </c>
      <c r="N13" s="26">
        <f>Apartment12!D13</f>
        <v>250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9" t="s">
        <v>47</v>
      </c>
      <c r="D2" s="99"/>
      <c r="E2" s="99"/>
      <c r="F2" s="99"/>
      <c r="G2" s="99"/>
      <c r="H2" s="99"/>
      <c r="I2" s="99"/>
      <c r="J2" s="99"/>
      <c r="K2" s="99"/>
      <c r="L2" s="99"/>
      <c r="M2" s="99"/>
      <c r="N2" s="99"/>
    </row>
    <row r="3" spans="1:14" ht="18" x14ac:dyDescent="0.25">
      <c r="C3" s="83"/>
      <c r="G3" s="103" t="s">
        <v>94</v>
      </c>
      <c r="H3" s="103"/>
      <c r="I3" s="103"/>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1050</v>
      </c>
      <c r="D5" s="92"/>
      <c r="E5" s="94">
        <f>D5-C5</f>
        <v>-1050</v>
      </c>
      <c r="F5" s="2" t="s">
        <v>50</v>
      </c>
      <c r="G5" s="91"/>
      <c r="H5" s="92"/>
      <c r="I5" s="94">
        <f>H5-G5</f>
        <v>0</v>
      </c>
      <c r="J5" s="2"/>
    </row>
    <row r="6" spans="1:14" ht="18" x14ac:dyDescent="0.25">
      <c r="A6" s="8">
        <v>2</v>
      </c>
      <c r="B6" s="20">
        <v>2</v>
      </c>
      <c r="C6" s="91">
        <f>Apartment2!D4</f>
        <v>825</v>
      </c>
      <c r="D6" s="92"/>
      <c r="E6" s="94">
        <f t="shared" ref="E6:E18" si="0">D6-C6</f>
        <v>-825</v>
      </c>
      <c r="F6" s="2" t="s">
        <v>51</v>
      </c>
      <c r="G6" s="91"/>
      <c r="H6" s="92"/>
      <c r="I6" s="94">
        <f t="shared" ref="I6:I18" si="1">H6-G6</f>
        <v>0</v>
      </c>
      <c r="J6" s="2"/>
    </row>
    <row r="7" spans="1:14" ht="18" x14ac:dyDescent="0.25">
      <c r="A7" s="8">
        <v>3</v>
      </c>
      <c r="B7" s="20">
        <v>3</v>
      </c>
      <c r="C7" s="91">
        <f>Apartment3!D4</f>
        <v>1200</v>
      </c>
      <c r="D7" s="92"/>
      <c r="E7" s="94">
        <f t="shared" si="0"/>
        <v>-1200</v>
      </c>
      <c r="F7" s="2" t="s">
        <v>48</v>
      </c>
      <c r="G7" s="91"/>
      <c r="H7" s="92"/>
      <c r="I7" s="94">
        <f t="shared" si="1"/>
        <v>0</v>
      </c>
      <c r="J7" s="2"/>
    </row>
    <row r="8" spans="1:14" ht="18" x14ac:dyDescent="0.25">
      <c r="A8" s="8">
        <v>4</v>
      </c>
      <c r="B8" s="20">
        <v>4</v>
      </c>
      <c r="C8" s="91">
        <f>Apartment4!D4</f>
        <v>1200</v>
      </c>
      <c r="D8" s="92"/>
      <c r="E8" s="94">
        <f t="shared" si="0"/>
        <v>-1200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2400</v>
      </c>
      <c r="D11" s="92"/>
      <c r="E11" s="94">
        <f t="shared" si="0"/>
        <v>-2400</v>
      </c>
      <c r="F11" s="2" t="s">
        <v>48</v>
      </c>
      <c r="G11" s="91"/>
      <c r="H11" s="92"/>
      <c r="I11" s="94">
        <f t="shared" si="1"/>
        <v>0</v>
      </c>
      <c r="J11" s="2"/>
    </row>
    <row r="12" spans="1:14" ht="18" x14ac:dyDescent="0.25">
      <c r="A12" s="8">
        <v>8</v>
      </c>
      <c r="B12" s="20">
        <v>8</v>
      </c>
      <c r="C12" s="91">
        <f>Apartment8!D4</f>
        <v>1800</v>
      </c>
      <c r="D12" s="92"/>
      <c r="E12" s="94">
        <f t="shared" si="0"/>
        <v>-1800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1050</v>
      </c>
      <c r="D15" s="92"/>
      <c r="E15" s="94">
        <f t="shared" si="0"/>
        <v>-1050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9" t="s">
        <v>21</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K13" sqref="K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20</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2000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v>46252</v>
      </c>
      <c r="D13" s="33">
        <v>250</v>
      </c>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9" t="s">
        <v>114</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4" t="s">
        <v>118</v>
      </c>
      <c r="J20" s="104"/>
      <c r="K20" s="104"/>
      <c r="L20" s="104"/>
      <c r="M20" s="104"/>
      <c r="N20" s="104"/>
    </row>
    <row r="21" spans="1:17" ht="23.25" x14ac:dyDescent="0.35">
      <c r="A21" s="8"/>
      <c r="B21" s="8"/>
      <c r="C21" s="51"/>
      <c r="D21" s="33"/>
      <c r="E21" s="8"/>
      <c r="F21" s="8"/>
      <c r="G21" s="8"/>
      <c r="H21" s="2"/>
      <c r="I21" s="104" t="s">
        <v>238</v>
      </c>
      <c r="J21" s="104"/>
      <c r="K21" s="104"/>
      <c r="L21" s="104"/>
      <c r="M21" s="104"/>
      <c r="N21" s="104"/>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5"/>
      <c r="K23" s="105"/>
      <c r="L23" s="105"/>
      <c r="M23" s="105"/>
      <c r="N23" s="105"/>
      <c r="O23" s="105"/>
      <c r="P23" s="105"/>
    </row>
    <row r="24" spans="1:17" ht="18" x14ac:dyDescent="0.25">
      <c r="A24" s="8"/>
      <c r="B24" s="8"/>
      <c r="C24" s="51"/>
      <c r="D24" s="33"/>
      <c r="E24" s="8"/>
      <c r="F24" s="8"/>
      <c r="G24" s="8">
        <v>1</v>
      </c>
      <c r="H24" s="8"/>
      <c r="I24" s="8"/>
      <c r="J24" s="105"/>
      <c r="K24" s="105"/>
      <c r="L24" s="105"/>
      <c r="M24" s="105"/>
      <c r="N24" s="105"/>
      <c r="O24" s="105"/>
      <c r="P24" s="105"/>
    </row>
    <row r="25" spans="1:17" ht="36" customHeight="1" x14ac:dyDescent="0.25">
      <c r="A25" s="8"/>
      <c r="B25" s="8"/>
      <c r="C25" s="51"/>
      <c r="D25" s="33"/>
      <c r="E25" s="8"/>
      <c r="F25" s="8"/>
      <c r="G25" s="48">
        <v>2</v>
      </c>
      <c r="H25" s="48"/>
      <c r="I25" s="48"/>
      <c r="J25" s="105"/>
      <c r="K25" s="105"/>
      <c r="L25" s="105"/>
      <c r="M25" s="105"/>
      <c r="N25" s="105"/>
      <c r="O25" s="105"/>
      <c r="P25" s="105"/>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10" sqref="C10:C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22</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46225</v>
      </c>
      <c r="D9" s="90">
        <v>150</v>
      </c>
      <c r="E9" s="8"/>
      <c r="F9" s="8">
        <v>150</v>
      </c>
      <c r="G9" s="8" t="s">
        <v>101</v>
      </c>
      <c r="H9" s="2"/>
      <c r="I9" s="2"/>
      <c r="J9" s="2"/>
      <c r="K9" s="2"/>
      <c r="L9" s="2"/>
      <c r="M9" s="2"/>
    </row>
    <row r="10" spans="1:17" ht="18" x14ac:dyDescent="0.25">
      <c r="A10" s="8">
        <v>5</v>
      </c>
      <c r="B10" s="8">
        <v>5</v>
      </c>
      <c r="C10" s="9">
        <v>46225</v>
      </c>
      <c r="D10" s="90">
        <v>150</v>
      </c>
      <c r="E10" s="8"/>
      <c r="F10" s="8">
        <v>150</v>
      </c>
      <c r="G10" s="8" t="s">
        <v>102</v>
      </c>
      <c r="H10" s="2"/>
      <c r="I10" s="2"/>
      <c r="J10" s="2"/>
      <c r="K10" s="2"/>
      <c r="L10" s="2"/>
      <c r="M10" s="2"/>
    </row>
    <row r="11" spans="1:17" ht="18" x14ac:dyDescent="0.25">
      <c r="A11" s="8">
        <v>6</v>
      </c>
      <c r="B11" s="8">
        <v>6</v>
      </c>
      <c r="C11" s="9">
        <v>46225</v>
      </c>
      <c r="D11" s="90">
        <v>150</v>
      </c>
      <c r="E11" s="8"/>
      <c r="F11" s="8">
        <v>150</v>
      </c>
      <c r="G11" s="8" t="s">
        <v>103</v>
      </c>
      <c r="H11" s="2"/>
      <c r="I11" s="2"/>
      <c r="J11" s="2"/>
      <c r="K11" s="2"/>
      <c r="L11" s="2"/>
      <c r="M11" s="2"/>
    </row>
    <row r="12" spans="1:17" ht="18" x14ac:dyDescent="0.25">
      <c r="A12" s="8">
        <v>7</v>
      </c>
      <c r="B12" s="8">
        <v>7</v>
      </c>
      <c r="C12" s="9">
        <v>46225</v>
      </c>
      <c r="D12" s="90">
        <v>150</v>
      </c>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9" t="s">
        <v>23</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9" t="s">
        <v>24</v>
      </c>
      <c r="D2" s="99"/>
      <c r="E2" s="99"/>
      <c r="F2" s="99"/>
      <c r="G2" s="99"/>
      <c r="H2" s="99"/>
      <c r="I2" s="99"/>
      <c r="J2" s="99"/>
      <c r="K2" s="99"/>
      <c r="L2" s="99"/>
      <c r="M2" s="99"/>
      <c r="N2" s="99"/>
      <c r="O2" s="99"/>
      <c r="P2" s="99"/>
      <c r="Q2" s="99"/>
    </row>
    <row r="3" spans="1:22" ht="56.25" x14ac:dyDescent="0.4">
      <c r="C3" s="57"/>
      <c r="D3" s="18" t="s">
        <v>8</v>
      </c>
      <c r="E3" s="18"/>
      <c r="F3" s="18" t="s">
        <v>18</v>
      </c>
      <c r="G3" s="1"/>
      <c r="H3" s="1"/>
      <c r="I3" s="1"/>
      <c r="J3" s="1"/>
      <c r="K3" s="1"/>
      <c r="L3" s="1"/>
      <c r="M3" s="1"/>
      <c r="N3" s="1"/>
      <c r="O3" s="100" t="s">
        <v>97</v>
      </c>
      <c r="P3" s="100"/>
      <c r="Q3" s="100"/>
      <c r="R3" s="100"/>
      <c r="S3" s="100"/>
      <c r="T3" s="100"/>
      <c r="U3" s="100"/>
      <c r="V3" s="100"/>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6" t="s">
        <v>77</v>
      </c>
      <c r="S5" s="107"/>
      <c r="T5" s="107"/>
      <c r="U5" s="108"/>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9"/>
      <c r="S12" s="110"/>
      <c r="T12" s="110"/>
      <c r="U12" s="111"/>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12" sqref="C12"/>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115</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C14" sqref="C14"/>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9" t="s">
        <v>25</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2400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46235</v>
      </c>
      <c r="D13" s="33">
        <v>300</v>
      </c>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9" t="s">
        <v>116</v>
      </c>
      <c r="D2" s="99"/>
      <c r="E2" s="99"/>
      <c r="F2" s="99"/>
      <c r="G2" s="99"/>
      <c r="H2" s="99"/>
      <c r="I2" s="99"/>
      <c r="J2" s="99"/>
      <c r="K2" s="99"/>
      <c r="L2" s="99"/>
      <c r="M2" s="99"/>
      <c r="N2" s="99"/>
      <c r="O2" s="99"/>
      <c r="P2" s="99"/>
      <c r="Q2" s="99"/>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C14" sqref="C14"/>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28</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1200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4" sqref="C14"/>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9" t="s">
        <v>27</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1200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4" workbookViewId="0">
      <selection activeCell="C13" sqref="C13"/>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9" t="s">
        <v>29</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825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46204</v>
      </c>
      <c r="D12" s="8">
        <v>150</v>
      </c>
      <c r="E12" s="8"/>
      <c r="F12" s="33">
        <v>150</v>
      </c>
      <c r="G12" s="8" t="s">
        <v>231</v>
      </c>
      <c r="H12" s="2"/>
      <c r="I12" s="2"/>
      <c r="J12" s="2"/>
      <c r="K12" s="2"/>
      <c r="L12" s="2"/>
      <c r="M12" s="2"/>
    </row>
    <row r="13" spans="1:17" ht="18" x14ac:dyDescent="0.25">
      <c r="A13" s="33">
        <v>8</v>
      </c>
      <c r="B13" s="33">
        <v>8</v>
      </c>
      <c r="C13" s="77">
        <v>46237</v>
      </c>
      <c r="D13" s="8">
        <v>150</v>
      </c>
      <c r="E13" s="8"/>
      <c r="F13" s="33">
        <v>150</v>
      </c>
      <c r="G13" s="8" t="s">
        <v>232</v>
      </c>
      <c r="H13" s="2"/>
      <c r="I13" s="2"/>
      <c r="J13" s="2"/>
      <c r="K13" s="2"/>
      <c r="L13" s="2"/>
      <c r="M13" s="2"/>
    </row>
    <row r="14" spans="1:17" ht="18" x14ac:dyDescent="0.25">
      <c r="A14" s="33">
        <v>9</v>
      </c>
      <c r="B14" s="33">
        <v>9</v>
      </c>
      <c r="C14" s="77">
        <v>46299</v>
      </c>
      <c r="D14" s="8"/>
      <c r="E14" s="8"/>
      <c r="F14" s="33">
        <v>150</v>
      </c>
      <c r="G14" s="8" t="s">
        <v>233</v>
      </c>
      <c r="H14" s="2"/>
      <c r="I14" s="2"/>
      <c r="J14" s="2"/>
      <c r="K14" s="2"/>
      <c r="L14" s="2"/>
      <c r="M14" s="2"/>
    </row>
    <row r="15" spans="1:17" ht="18" x14ac:dyDescent="0.25">
      <c r="A15" s="33">
        <v>10</v>
      </c>
      <c r="B15" s="33">
        <v>10</v>
      </c>
      <c r="C15" s="77">
        <v>46299</v>
      </c>
      <c r="D15" s="8"/>
      <c r="E15" s="8"/>
      <c r="F15" s="33">
        <v>150</v>
      </c>
      <c r="G15" s="8" t="s">
        <v>234</v>
      </c>
      <c r="H15" s="2"/>
      <c r="I15" s="2"/>
      <c r="J15" s="2"/>
      <c r="K15" s="2"/>
      <c r="L15" s="2"/>
      <c r="M15" s="2"/>
    </row>
    <row r="16" spans="1:17" ht="18" x14ac:dyDescent="0.25">
      <c r="A16" s="33">
        <v>11</v>
      </c>
      <c r="B16" s="33">
        <v>11</v>
      </c>
      <c r="C16" s="77">
        <v>46350</v>
      </c>
      <c r="D16" s="8"/>
      <c r="E16" s="8"/>
      <c r="F16" s="33">
        <v>150</v>
      </c>
      <c r="G16" s="8" t="s">
        <v>235</v>
      </c>
      <c r="H16" s="2"/>
      <c r="I16" s="2"/>
      <c r="J16" s="2"/>
      <c r="K16" s="2"/>
      <c r="L16" s="2"/>
      <c r="M16" s="2"/>
    </row>
    <row r="17" spans="1:13" ht="18" x14ac:dyDescent="0.25">
      <c r="A17" s="33">
        <v>12</v>
      </c>
      <c r="B17" s="33">
        <v>12</v>
      </c>
      <c r="C17" s="77">
        <v>46350</v>
      </c>
      <c r="D17" s="8"/>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10" sqref="D10:D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16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1050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98">
        <v>46232</v>
      </c>
      <c r="D11" s="73">
        <v>150</v>
      </c>
      <c r="E11" s="8"/>
      <c r="F11" s="73">
        <v>150</v>
      </c>
      <c r="G11" s="8" t="s">
        <v>227</v>
      </c>
      <c r="H11" s="2"/>
      <c r="I11" s="2"/>
      <c r="J11" s="2"/>
      <c r="K11" s="2"/>
      <c r="L11" s="2"/>
      <c r="M11" s="2"/>
    </row>
    <row r="12" spans="1:17" ht="18" x14ac:dyDescent="0.25">
      <c r="A12" s="8">
        <v>7</v>
      </c>
      <c r="B12" s="73">
        <v>7</v>
      </c>
      <c r="C12" s="98">
        <v>46232</v>
      </c>
      <c r="D12" s="73">
        <v>150</v>
      </c>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68" workbookViewId="0">
      <selection activeCell="B74" sqref="B74"/>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16225</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v>46225</v>
      </c>
      <c r="C64" s="55">
        <v>600</v>
      </c>
      <c r="E64" s="8" t="s">
        <v>187</v>
      </c>
      <c r="F64" s="8">
        <v>11</v>
      </c>
      <c r="G64" s="8" t="s">
        <v>300</v>
      </c>
    </row>
    <row r="65" spans="1:7" ht="18" x14ac:dyDescent="0.25">
      <c r="A65" s="8">
        <v>60</v>
      </c>
      <c r="B65" s="51">
        <v>46228</v>
      </c>
      <c r="C65" s="55">
        <v>58</v>
      </c>
      <c r="D65" s="8"/>
      <c r="E65" s="8" t="s">
        <v>260</v>
      </c>
      <c r="F65" s="8"/>
      <c r="G65" s="8" t="s">
        <v>301</v>
      </c>
    </row>
    <row r="66" spans="1:7" ht="18" x14ac:dyDescent="0.25">
      <c r="A66" s="8">
        <v>61</v>
      </c>
      <c r="B66" s="51">
        <v>46228</v>
      </c>
      <c r="C66" s="55">
        <v>240</v>
      </c>
      <c r="E66" s="8" t="s">
        <v>260</v>
      </c>
      <c r="F66" s="8"/>
      <c r="G66" s="8" t="s">
        <v>302</v>
      </c>
    </row>
    <row r="67" spans="1:7" ht="18" x14ac:dyDescent="0.25">
      <c r="A67" s="8">
        <v>62</v>
      </c>
      <c r="B67" s="51">
        <v>46232</v>
      </c>
      <c r="C67" s="55">
        <v>300</v>
      </c>
      <c r="D67" s="8"/>
      <c r="E67" s="8" t="s">
        <v>186</v>
      </c>
      <c r="F67" s="8">
        <v>1</v>
      </c>
      <c r="G67" s="8" t="s">
        <v>304</v>
      </c>
    </row>
    <row r="68" spans="1:7" ht="18" x14ac:dyDescent="0.25">
      <c r="A68" s="8">
        <v>63</v>
      </c>
      <c r="B68" s="51">
        <v>46235</v>
      </c>
      <c r="C68" s="55">
        <v>300</v>
      </c>
      <c r="E68" s="8" t="s">
        <v>48</v>
      </c>
      <c r="F68" s="8">
        <v>7</v>
      </c>
      <c r="G68" s="8" t="s">
        <v>305</v>
      </c>
    </row>
    <row r="69" spans="1:7" ht="18" x14ac:dyDescent="0.25">
      <c r="A69" s="8">
        <v>64</v>
      </c>
      <c r="B69" s="51">
        <v>46235</v>
      </c>
      <c r="C69" s="55">
        <v>150</v>
      </c>
      <c r="D69" s="8"/>
      <c r="E69" s="8" t="s">
        <v>244</v>
      </c>
      <c r="F69" s="8">
        <v>4</v>
      </c>
      <c r="G69" s="8" t="s">
        <v>305</v>
      </c>
    </row>
    <row r="70" spans="1:7" ht="18" x14ac:dyDescent="0.25">
      <c r="A70" s="8">
        <v>65</v>
      </c>
      <c r="B70" s="51">
        <v>46235</v>
      </c>
      <c r="C70" s="55">
        <v>150</v>
      </c>
      <c r="D70" s="8"/>
      <c r="E70" s="8" t="s">
        <v>141</v>
      </c>
      <c r="F70" s="8">
        <v>3</v>
      </c>
      <c r="G70" s="8" t="s">
        <v>305</v>
      </c>
    </row>
    <row r="71" spans="1:7" ht="18" x14ac:dyDescent="0.25">
      <c r="A71" s="8">
        <v>66</v>
      </c>
      <c r="B71" s="51">
        <v>46252</v>
      </c>
      <c r="C71" s="55">
        <v>250</v>
      </c>
      <c r="D71" s="8"/>
      <c r="E71" s="8" t="s">
        <v>142</v>
      </c>
      <c r="F71" s="8">
        <v>12</v>
      </c>
      <c r="G71" s="8" t="s">
        <v>232</v>
      </c>
    </row>
    <row r="72" spans="1:7" ht="18" x14ac:dyDescent="0.25">
      <c r="A72" s="8">
        <v>68</v>
      </c>
      <c r="B72" s="51">
        <v>46256</v>
      </c>
      <c r="C72" s="55">
        <v>58</v>
      </c>
      <c r="D72" s="8"/>
      <c r="E72" s="8" t="s">
        <v>260</v>
      </c>
      <c r="F72" s="8"/>
      <c r="G72" s="8" t="s">
        <v>306</v>
      </c>
    </row>
    <row r="73" spans="1:7" ht="18" x14ac:dyDescent="0.25">
      <c r="A73" s="8">
        <v>69</v>
      </c>
      <c r="B73" s="51">
        <v>46237</v>
      </c>
      <c r="C73" s="55">
        <v>150</v>
      </c>
      <c r="E73" s="8" t="s">
        <v>160</v>
      </c>
      <c r="F73" s="8">
        <v>2</v>
      </c>
      <c r="G73" s="8" t="s">
        <v>307</v>
      </c>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9" t="s">
        <v>13</v>
      </c>
      <c r="C2" s="99"/>
      <c r="D2" s="99"/>
      <c r="E2" s="99"/>
      <c r="F2" s="99"/>
      <c r="G2" s="99"/>
      <c r="H2" s="99"/>
      <c r="I2" s="99"/>
      <c r="J2" s="99"/>
      <c r="K2" s="99"/>
      <c r="L2" s="99"/>
      <c r="M2" s="99"/>
      <c r="N2" s="99"/>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16225</v>
      </c>
      <c r="D5" s="71">
        <f>outcomes!C3</f>
        <v>19601</v>
      </c>
      <c r="E5" s="72">
        <f>(C3+C5)-D5</f>
        <v>10526</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25" workbookViewId="0">
      <selection activeCell="D42" sqref="D42"/>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9" t="s">
        <v>10</v>
      </c>
      <c r="C2" s="99"/>
      <c r="D2" s="99"/>
      <c r="E2" s="99"/>
      <c r="F2" s="99"/>
      <c r="G2" s="99"/>
      <c r="H2" s="99"/>
      <c r="I2" s="99"/>
      <c r="J2" s="99"/>
      <c r="K2" s="99"/>
      <c r="L2" s="99"/>
      <c r="M2" s="99"/>
      <c r="N2" s="99"/>
    </row>
    <row r="3" spans="1:19" ht="18" x14ac:dyDescent="0.25">
      <c r="B3" s="58" t="s">
        <v>12</v>
      </c>
      <c r="C3" s="53">
        <f>SUM(C5:C2002)</f>
        <v>19601</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v>46234</v>
      </c>
      <c r="C40" s="55">
        <v>400</v>
      </c>
      <c r="D40" s="8" t="s">
        <v>303</v>
      </c>
      <c r="E40" s="2"/>
    </row>
    <row r="41" spans="1:20" ht="18" x14ac:dyDescent="0.25">
      <c r="A41" s="33">
        <v>37</v>
      </c>
      <c r="B41" s="60">
        <v>46234</v>
      </c>
      <c r="C41" s="55">
        <v>50</v>
      </c>
      <c r="D41" s="8" t="s">
        <v>277</v>
      </c>
    </row>
    <row r="42" spans="1:20" ht="18" x14ac:dyDescent="0.25">
      <c r="A42" s="33">
        <v>38</v>
      </c>
      <c r="B42" s="60">
        <v>46254</v>
      </c>
      <c r="C42" s="55">
        <v>1030</v>
      </c>
      <c r="D42" s="8" t="s">
        <v>308</v>
      </c>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2026-08-22T06:17:15Z</dcterms:modified>
</cp:coreProperties>
</file>
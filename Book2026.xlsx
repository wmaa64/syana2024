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B36C8839-FF3B-44D8-BF72-ED34C986D9EC}" xr6:coauthVersionLast="47" xr6:coauthVersionMax="47" xr10:uidLastSave="{00000000-0000-0000-0000-000000000000}"/>
  <bookViews>
    <workbookView xWindow="-120" yWindow="-120" windowWidth="20730" windowHeight="11160" tabRatio="947" firstSheet="6" activeTab="6"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<sst xmlns="http://schemas.openxmlformats.org/spreadsheetml/2006/main" count="777" uniqueCount="271">
  <si>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</si>
  <si>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</si>
  <si>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</si>
  <si>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</si>
  <si>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</si>
  <si>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</si>
  <si>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</si>
  <si>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</si>
  <si>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</si>
  <si>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</si>
  <si>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</si>
  <si>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</si>
  <si>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</si>
  <si>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</si>
  <si>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</si>
  <si>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</si>
  <si>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</si>
  <si>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</si>
  <si>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</si>
  <si>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</si>
  <si>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</si>
  <si>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</si>
  <si>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</si>
  <si>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</si>
  <si>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</si>
  <si>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</si>
  <si>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</si>
  <si>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</si>
  <si>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</si>
  <si>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</si>
  <si>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</si>
  <si>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</si>
  <si>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</si>
  <si>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</si>
  <si>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</si>
  <si>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</si>
  <si>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</si>
  <si>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</si>
  <si>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</si>
  <si>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</si>
  <si>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</si>
  <si>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</si>
  <si>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</si>
  <si>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</si>
  <si>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</si>
  <si>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</si>
  <si>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</si>
  <si>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</si>
  <si>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</si>
  <si>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</si>
  <si>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</si>
  <si>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</si>
  <si>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</si>
  <si>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</si>
  <si>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</si>
  <si>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</si>
  <si>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</si>
  <si>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</si>
  <si>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</si>
  <si>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</si>
  <si>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</si>
  <si>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</si>
  <si>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</si>
  <si>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</si>
  <si>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</si>
  <si>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</si>
  <si>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</si>
  <si>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</si>
  <si>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</si>
  <si>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</si>
  <si>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</si>
  <si>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</si>
  <si>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</si>
  <si>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</si>
  <si>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</si>
  <si>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</si>
  <si>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</si>
  <si>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</si>
  <si>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</si>
  <si>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</si>
  <si>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</si>
  <si>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</si>
  <si>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</si>
  <si>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</si>
  <si>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</si>
  <si>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</si>
  <si>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</si>
  <si>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</si>
  <si>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</si>
  <si>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</si>
  <si>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</si>
  <si>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</si>
  <si>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</si>
  <si>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</si>
  <si>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</si>
  <si>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</si>
  <si>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</si>
  <si>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</si>
  <si>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</si>
  <si>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</si>
  <si>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</si>
  <si>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</si>
  <si>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</si>
  <si>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</si>
  <si>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</si>
  <si>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</si>
  <si>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</si>
  <si>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</si>
  <si>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</si>
  <si>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</si>
  <si>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</si>
  <si>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</si>
  <si>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</si>
  <si>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</si>
  <si>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</si>
  <si>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</si>
  <si>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</si>
  <si>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</si>
  <si>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</si>
  <si>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</si>
  <si>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</si>
  <si>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</si>
  <si>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</si>
  <si>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</si>
  <si>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</si>
  <si>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</si>
  <si>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</si>
  <si>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</si>
  <si>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</si>
  <si>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</si>
  <si>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</si>
  <si>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</si>
  <si>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</si>
  <si>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</si>
  <si>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</si>
  <si>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</si>
  <si>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</si>
  <si>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</si>
  <si>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</si>
  <si>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</si>
  <si>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</si>
  <si>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</si>
  <si>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</si>
  <si>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</si>
  <si>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</si>
  <si>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</si>
  <si>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</si>
  <si>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</si>
  <si>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</si>
  <si>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</si>
  <si>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</si>
  <si>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</si>
  <si>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</si>
  <si>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</si>
  <si>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</si>
  <si>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</si>
  <si>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</si>
  <si>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</si>
  <si>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</si>
  <si>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</si>
  <si>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</si>
  <si>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</si>
  <si>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</si>
  <si>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</si>
  <si>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</si>
  <si>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</si>
  <si>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</si>
  <si>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</si>
  <si>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</si>
  <si>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</si>
  <si>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</si>
  <si>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</si>
  <si>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</si>
  <si>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</si>
  <si>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</si>
  <si>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</si>
  <si>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</si>
  <si>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</si>
  <si>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</si>
  <si>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</si>
  <si>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</si>
  <si>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</si>
  <si>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</si>
  <si>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</si>
  <si>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</si>
  <si>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</si>
  <si>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</si>
  <si>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</si>
  <si>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</si>
  <si>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</si>
  <si>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</si>
  <si>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</si>
  <si>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</si>
  <si>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</si>
  <si>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</si>
  <si>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</si>
  <si>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</si>
  <si>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</si>
  <si>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</si>
  <si>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</si>
  <si>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</si>
  <si>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</si>
  <si>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</si>
  <si>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</si>
  <si>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</si>
  <si>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</si>
  <si>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</si>
  <si>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</si>
  <si>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</si>
  <si>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</si>
  <si>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</si>
  <si>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</si>
  <si>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</si>
  <si>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</si>
  <si>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</si>
  <si>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</si>
  <si>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</si>
  <si>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</si>
  <si>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</si>
  <si>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</si>
  <si>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</si>
  <si>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</si>
  <si>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</si>
  <si>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</si>
  <si>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</si>
  <si>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</si>
  <si>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</si>
  <si>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</si>
  <si>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</si>
  <si>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</si>
  <si>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</si>
  <si>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</si>
  <si>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</si>
  <si>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</si>
  <si>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</si>
  <si>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</si>
  <si>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</si>
  <si>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</si>
  <si>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</si>
  <si>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</si>
  <si>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</si>
  <si>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</si>
  <si>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</si>
  <si>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</si>
  <si>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</si>
  <si>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</si>
  <si>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</si>
  <si>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</si>
  <si>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</si>
  <si>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</si>
  <si>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</si>
  <si>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</si>
  <si>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</si>
  <si>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</si>
  <si>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</si>
  <si>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</si>
  <si>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</si>
  <si>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</si>
  <si>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</si>
  <si>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</si>
  <si>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</si>
  <si>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</si>
  <si>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</si>
  <si>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</si>
  <si>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</si>
  <si>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</si>
  <si>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</si>
  <si>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</si>
  <si>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تحت حساب فاتورة المياه عن شهر مارس /2025</t>
  </si>
  <si>
    <t>منال</t>
  </si>
  <si>
    <t>13،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</si>
</sst>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0</v>
      </c>
      <c r="O8" s="26">
        <f>Apartment13!D8</f>
        <v>125</v>
      </c>
      <c r="P8" s="26">
        <f>Apartment14!D8</f>
        <v>125</v>
      </c>
    </row>
    <row r="9" spans="1:20" ht="23.25" x14ac:dyDescent="0.35">
      <c r="A9" s="8"/>
      <c r="B9" s="25">
        <v>4</v>
      </c>
      <c r="C9" s="26">
        <f>Apartment1!D9</f>
        <v>0</v>
      </c>
      <c r="D9" s="26">
        <f>Apartment2!D9</f>
        <v>0</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225</v>
      </c>
      <c r="D6" s="92"/>
      <c r="E6" s="94">
        <f t="shared" ref="E6:E18" si="0">D6-C6</f>
        <v>-225</v>
      </c>
      <c r="F6" s="2" t="s">
        <v>51</v>
      </c>
      <c r="G6" s="91"/>
      <c r="H6" s="92"/>
      <c r="I6" s="94">
        <f t="shared" ref="I6:I18" si="1">H6-G6</f>
        <v>0</v>
      </c>
      <c r="J6" s="2"/>
    </row>
    <row r="7" spans="1:14" ht="18" x14ac:dyDescent="0.25">
      <c r="A7" s="8">
        <v>3</v>
      </c>
      <c r="B7" s="20">
        <v>3</v>
      </c>
      <c r="C7" s="91">
        <f>Apartment3!D4</f>
        <v>600</v>
      </c>
      <c r="D7" s="92"/>
      <c r="E7" s="94">
        <f t="shared" si="0"/>
        <v>-600</v>
      </c>
      <c r="F7" s="2" t="s">
        <v>48</v>
      </c>
      <c r="G7" s="91"/>
      <c r="H7" s="92"/>
      <c r="I7" s="94">
        <f t="shared" si="1"/>
        <v>0</v>
      </c>
      <c r="J7" s="2"/>
    </row>
    <row r="8" spans="1:14" ht="18" x14ac:dyDescent="0.25">
      <c r="A8" s="8">
        <v>4</v>
      </c>
      <c r="B8" s="20">
        <v>4</v>
      </c>
      <c r="C8" s="91">
        <f>Apartment4!D4</f>
        <v>600</v>
      </c>
      <c r="D8" s="92"/>
      <c r="E8" s="94">
        <f t="shared" si="0"/>
        <v>-600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1200</v>
      </c>
      <c r="D11" s="92"/>
      <c r="E11" s="94">
        <f t="shared" si="0"/>
        <v>-1200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abSelected="1" topLeftCell="A4" workbookViewId="0">
      <selection activeCell="F9" sqref="F9:F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0" sqref="D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1200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600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0" sqref="D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D6" sqref="D6"/>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225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21" workbookViewId="0">
      <selection activeCell="G35" sqref="G35"/>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6991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260</v>
      </c>
      <c r="F25" s="8">
        <v>5</v>
      </c>
      <c r="G25" s="8" t="s">
        <v>261</v>
      </c>
      <c r="H25" s="2"/>
      <c r="I25" s="2"/>
      <c r="J25" s="2"/>
      <c r="K25" s="2"/>
      <c r="L25" s="2"/>
      <c r="M25" s="2"/>
    </row>
    <row r="26" spans="1:13" ht="18" x14ac:dyDescent="0.25">
      <c r="A26" s="8">
        <v>21</v>
      </c>
      <c r="B26" s="51">
        <v>46044</v>
      </c>
      <c r="C26" s="55">
        <v>58</v>
      </c>
      <c r="D26" s="8"/>
      <c r="E26" s="8" t="s">
        <v>262</v>
      </c>
      <c r="F26" s="8"/>
      <c r="G26" s="8" t="s">
        <v>263</v>
      </c>
      <c r="H26" s="2"/>
      <c r="I26" s="2"/>
      <c r="J26" s="2"/>
      <c r="K26" s="2"/>
      <c r="L26" s="2"/>
      <c r="M26" s="2"/>
    </row>
    <row r="27" spans="1:13" ht="18" x14ac:dyDescent="0.25">
      <c r="A27" s="8">
        <v>22</v>
      </c>
      <c r="B27" s="51">
        <v>46075</v>
      </c>
      <c r="C27" s="55">
        <v>58</v>
      </c>
      <c r="D27" s="8"/>
      <c r="E27" s="8" t="s">
        <v>262</v>
      </c>
      <c r="F27" s="8"/>
      <c r="G27" s="8" t="s">
        <v>264</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261</v>
      </c>
      <c r="H31" s="2"/>
      <c r="I31" s="2"/>
      <c r="J31" s="2"/>
      <c r="K31" s="2"/>
      <c r="L31" s="2"/>
      <c r="M31" s="2"/>
    </row>
    <row r="32" spans="1:13" ht="18" x14ac:dyDescent="0.25">
      <c r="A32" s="8">
        <v>27</v>
      </c>
      <c r="B32" s="51">
        <v>46092</v>
      </c>
      <c r="C32" s="55">
        <v>450</v>
      </c>
      <c r="E32" s="8" t="s">
        <v>184</v>
      </c>
      <c r="F32" s="8">
        <v>9</v>
      </c>
      <c r="G32" s="8" t="s">
        <v>261</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269</v>
      </c>
      <c r="F34" s="8" t="s">
        <v>270</v>
      </c>
      <c r="G34" s="8" t="s">
        <v>261</v>
      </c>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6991</v>
      </c>
      <c r="D5" s="71">
        <f>outcomes!C3</f>
        <v>10104</v>
      </c>
      <c r="E5" s="72">
        <f>(C3+C5)-D5</f>
        <v>10789</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0" workbookViewId="0">
      <selection activeCell="B23" sqref="B2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10104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v>46056</v>
      </c>
      <c r="C17" s="55">
        <v>400</v>
      </c>
      <c r="D17" s="8" t="s">
        <v>258</v>
      </c>
      <c r="E17" s="2"/>
      <c r="F17" s="2"/>
      <c r="G17" s="2"/>
      <c r="H17" s="2"/>
      <c r="I17" s="2"/>
      <c r="J17" s="2"/>
      <c r="S17">
        <v>1</v>
      </c>
    </row>
    <row r="18" spans="1:19" ht="18" x14ac:dyDescent="0.25">
      <c r="A18" s="33">
        <v>14</v>
      </c>
      <c r="B18" s="60">
        <v>46057</v>
      </c>
      <c r="C18" s="55">
        <v>1000</v>
      </c>
      <c r="D18" s="8" t="s">
        <v>267</v>
      </c>
      <c r="E18" s="2"/>
      <c r="F18" s="2"/>
      <c r="G18" s="2"/>
      <c r="H18" s="2"/>
      <c r="I18" s="2"/>
      <c r="J18" s="2"/>
      <c r="S18">
        <v>4</v>
      </c>
    </row>
    <row r="19" spans="1:19" ht="18" x14ac:dyDescent="0.25">
      <c r="A19" s="33">
        <v>15</v>
      </c>
      <c r="B19" s="60">
        <v>46057</v>
      </c>
      <c r="C19" s="55">
        <v>10</v>
      </c>
      <c r="D19" s="8" t="s">
        <v>259</v>
      </c>
      <c r="I19" s="2"/>
      <c r="J19" s="2"/>
      <c r="S19">
        <v>6</v>
      </c>
    </row>
    <row r="20" spans="1:19" ht="18" x14ac:dyDescent="0.25">
      <c r="A20" s="33">
        <v>16</v>
      </c>
      <c r="B20" s="60">
        <v>46091</v>
      </c>
      <c r="C20" s="55">
        <v>675</v>
      </c>
      <c r="D20" s="8" t="s">
        <v>265</v>
      </c>
      <c r="E20" s="2"/>
      <c r="F20" s="2"/>
      <c r="G20" s="2"/>
      <c r="H20" s="2"/>
      <c r="I20" s="2"/>
      <c r="J20" s="2"/>
      <c r="S20">
        <v>1</v>
      </c>
    </row>
    <row r="21" spans="1:19" ht="18" x14ac:dyDescent="0.25">
      <c r="A21" s="33">
        <v>17</v>
      </c>
      <c r="B21" s="60">
        <v>46092</v>
      </c>
      <c r="C21" s="55">
        <v>1650</v>
      </c>
      <c r="D21" s="8" t="s">
        <v>266</v>
      </c>
      <c r="E21" s="2"/>
      <c r="F21" s="2"/>
      <c r="G21" s="2"/>
      <c r="H21" s="2"/>
      <c r="I21" s="2"/>
      <c r="J21" s="2"/>
      <c r="S21">
        <v>1</v>
      </c>
    </row>
    <row r="22" spans="1:19" ht="18" x14ac:dyDescent="0.25">
      <c r="A22" s="33">
        <v>18</v>
      </c>
      <c r="B22" s="60">
        <v>46096</v>
      </c>
      <c r="C22" s="55">
        <v>1030</v>
      </c>
      <c r="D22" s="8" t="s">
        <v>268</v>
      </c>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2026-03-17T10:31:24Z</dcterms:modified>
</cp:coreProperties>
</file>
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89B006AA-614F-47AE-943F-147BE6E2D702}" xr6:coauthVersionLast="47" xr6:coauthVersionMax="47" xr10:uidLastSave="{00000000-0000-0000-0000-000000000000}"/>
  <bookViews>
    <workbookView xWindow="-120" yWindow="-120" windowWidth="20730" windowHeight="11160" tabRatio="947" firstSheet="13" activeTab="21"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<sst xmlns="http://schemas.openxmlformats.org/spreadsheetml/2006/main" count="869" uniqueCount="306">
  <si>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</si>
  <si>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</si>
  <si>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</si>
  <si>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</si>
  <si>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</si>
  <si>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</si>
  <si>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</si>
  <si>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</si>
  <si>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</si>
  <si>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</si>
  <si>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</si>
  <si>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</si>
  <si>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</si>
  <si>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</si>
  <si>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</si>
  <si>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</si>
  <si>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</si>
  <si>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</si>
  <si>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</si>
  <si>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</si>
  <si>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</si>
  <si>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</si>
  <si>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</si>
  <si>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</si>
  <si>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</si>
  <si>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</si>
  <si>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</si>
  <si>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</si>
  <si>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</si>
  <si>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</si>
  <si>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</si>
  <si>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</si>
  <si>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</si>
  <si>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</si>
  <si>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</si>
  <si>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</si>
  <si>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</si>
  <si>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</si>
  <si>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</si>
  <si>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</si>
  <si>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</si>
  <si>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</si>
  <si>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</si>
  <si>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</si>
  <si>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</si>
  <si>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</si>
  <si>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</si>
  <si>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</si>
  <si>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</si>
  <si>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</si>
  <si>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</si>
  <si>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</si>
  <si>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</si>
  <si>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</si>
  <si>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</si>
  <si>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</si>
  <si>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</si>
  <si>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</si>
  <si>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</si>
  <si>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</si>
  <si>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</si>
  <si>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</si>
  <si>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</si>
  <si>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</si>
  <si>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</si>
  <si>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</si>
  <si>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</si>
  <si>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</si>
  <si>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</si>
  <si>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</si>
  <si>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</si>
  <si>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</si>
  <si>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</si>
  <si>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</si>
  <si>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</si>
  <si>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</si>
  <si>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</si>
  <si>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</si>
  <si>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</si>
  <si>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</si>
  <si>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</si>
  <si>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</si>
  <si>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</si>
  <si>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</si>
  <si>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</si>
  <si>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</si>
  <si>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</si>
  <si>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</si>
  <si>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</si>
  <si>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</si>
  <si>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</si>
  <si>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</si>
  <si>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</si>
  <si>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</si>
  <si>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</si>
  <si>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</si>
  <si>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</si>
  <si>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</si>
  <si>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</si>
  <si>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</si>
  <si>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</si>
  <si>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</si>
  <si>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</si>
  <si>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</si>
  <si>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</si>
  <si>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</si>
  <si>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</si>
  <si>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</si>
  <si>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</si>
  <si>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</si>
  <si>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</si>
  <si>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</si>
  <si>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</si>
  <si>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</si>
  <si>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</si>
  <si>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</si>
  <si>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</si>
  <si>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</si>
  <si>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</si>
  <si>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</si>
  <si>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</si>
  <si>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</si>
  <si>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</si>
  <si>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</si>
  <si>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</si>
  <si>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</si>
  <si>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</si>
  <si>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</si>
  <si>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</si>
  <si>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</si>
  <si>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</si>
  <si>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</si>
  <si>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</si>
  <si>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</si>
  <si>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</si>
  <si>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</si>
  <si>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</si>
  <si>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</si>
  <si>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</si>
  <si>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</si>
  <si>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</si>
  <si>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</si>
  <si>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</si>
  <si>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</si>
  <si>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</si>
  <si>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</si>
  <si>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</si>
  <si>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</si>
  <si>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</si>
  <si>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</si>
  <si>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</si>
  <si>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</si>
  <si>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</si>
  <si>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</si>
  <si>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</si>
  <si>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</si>
  <si>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</si>
  <si>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</si>
  <si>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</si>
  <si>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</si>
  <si>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</si>
  <si>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</si>
  <si>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</si>
  <si>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</si>
  <si>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</si>
  <si>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</si>
  <si>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</si>
  <si>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</si>
  <si>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</si>
  <si>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</si>
  <si>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</si>
  <si>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</si>
  <si>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</si>
  <si>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</si>
  <si>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</si>
  <si>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</si>
  <si>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</si>
  <si>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</si>
  <si>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</si>
  <si>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</si>
  <si>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</si>
  <si>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</si>
  <si>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</si>
  <si>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</si>
  <si>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</si>
  <si>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</si>
  <si>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</si>
  <si>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</si>
  <si>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</si>
  <si>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</si>
  <si>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</si>
  <si>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</si>
  <si>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</si>
  <si>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</si>
  <si>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</si>
  <si>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</si>
  <si>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</si>
  <si>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</si>
  <si>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</si>
  <si>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</si>
  <si>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</si>
  <si>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</si>
  <si>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</si>
  <si>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</si>
  <si>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</si>
  <si>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</si>
  <si>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</si>
  <si>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</si>
  <si>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</si>
  <si>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</si>
  <si>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</si>
  <si>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</si>
  <si>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</si>
  <si>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</si>
  <si>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</si>
  <si>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</si>
  <si>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</si>
  <si>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</si>
  <si>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</si>
  <si>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</si>
  <si>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</si>
  <si>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</si>
  <si>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</si>
  <si>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</si>
  <si>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</si>
  <si>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</si>
  <si>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</si>
  <si>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</si>
  <si>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</si>
  <si>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</si>
  <si>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</si>
  <si>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</si>
  <si>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</si>
  <si>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</si>
  <si>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</si>
  <si>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</si>
  <si>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</si>
  <si>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</si>
  <si>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</si>
  <si>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</si>
  <si>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</si>
  <si>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</si>
  <si>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</si>
  <si>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</si>
  <si>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</si>
  <si>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</si>
  <si>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</si>
  <si>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</si>
  <si>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</si>
  <si>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</si>
  <si>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</si>
  <si>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</si>
  <si>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</si>
  <si>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</si>
  <si>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</si>
  <si>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</si>
  <si>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</si>
  <si>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</si>
  <si>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</si>
  <si>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</si>
  <si>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</si>
  <si>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</si>
  <si>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</si>
  <si>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</si>
  <si>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</si>
  <si>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</si>
  <si>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</si>
  <si>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</si>
  <si>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</si>
  <si>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</si>
  <si>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</si>
  <si>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</si>
  <si>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</si>
  <si>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</si>
  <si>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</si>
  <si>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</si>
  <si>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</si>
  <si>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</si>
  <si>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</si>
  <si>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</si>
  <si>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</si>
  <si>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</si>
  <si>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</si>
  <si>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</si>
  <si>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</si>
  <si>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</si>
  <si>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</si>
  <si>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</si>
  <si>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</si>
  <si>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</si>
  <si>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</si>
  <si>
    <t>تحت حساب كهرباء شهر يونيه /2026</t>
  </si>
  <si>
    <t>تحت حساب فاتورة المياه عن شهر يونيه /2026</t>
  </si>
  <si>
    <t>تحت حساب نظافة السلم لام احمد عن شهر يونيه /2026</t>
  </si>
  <si>
    <t>تحت حساب فوائد شهادة  رقم 1807951149146700023 بتاريخ اصدار 21- ديسمبر - 2025 بفائدة 14%، عن شهر يونيه / 2026</t>
  </si>
  <si>
    <t>تحت حساب صيانة شهر يوليه /2026</t>
  </si>
  <si>
    <t>تحت حساب صيانة شهر يوليه / 2026</t>
  </si>
  <si>
    <t>تحت حساب نظافة امام العمارة</t>
  </si>
  <si>
    <t>تحت حساب كهرباء شهر يوليه /2026</t>
  </si>
  <si>
    <t>تحت حساب فاتورة المياه عن شهر يوليه /2026</t>
  </si>
  <si>
    <t xml:space="preserve">تحت حساب صيانة شهور ابريل - مايو - يونية - يولية / 2026 </t>
  </si>
  <si>
    <t>تحت حساب فوائد شهادة  رقم 1807951149146700023 بتاريخ اصدار 21- ديسمبر - 2025 بفائدة 14%، عن شهر يولية / 2026</t>
  </si>
  <si>
    <t>تحت حساب فوائد شهادة  رقم 1807581149146700038 بتاريخ اصدار 4- يناير - 2026 بفائدة 19.25%، عن شهر يوليه / 2026</t>
  </si>
  <si>
    <t>تحت حساب نظافة السلم لام احمد عن شهر يولية /2026</t>
  </si>
  <si>
    <t>تحت حساب صيانة شهر يونية ويولية /2026</t>
  </si>
  <si>
    <t>تحت حساب صيانة شهر أغسطس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</si>
</sst>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9">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4" tint="0.59999389629810485"/>
        <bgColor theme="4" tint="0.59999389629810485"/>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
      <left style="thin">
        <color theme="0"/>
      </left>
      <right style="thin">
        <color theme="0"/>
      </right>
      <top style="thin">
        <color theme="0"/>
      </top>
      <bottom style="thin">
        <color theme="0"/>
      </bottom>
      <diagonal/>
    </border>
  </borders>
  <cellStyleXfs count="1">
    <xf numFmtId="0" fontId="0" fillId="0" borderId="0"/>
  </cellStyleXfs>
  <cellXfs count="112">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xf numFmtId="164" fontId="1" fillId="8" borderId="7" xfId="0" applyNumberFormat="1" applyFont="1" applyFill="1" applyBorder="1" applyAlignment="1">
      <alignment horizontal="left" readingOrder="2"/>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150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150</v>
      </c>
      <c r="N10" s="26">
        <f>Apartment12!D10</f>
        <v>250</v>
      </c>
      <c r="O10" s="26">
        <f>Apartment13!D10</f>
        <v>150</v>
      </c>
      <c r="P10" s="26">
        <f>Apartment14!D10</f>
        <v>150</v>
      </c>
    </row>
    <row r="11" spans="1:20" ht="23.25" x14ac:dyDescent="0.35">
      <c r="A11" s="8"/>
      <c r="B11" s="25">
        <v>6</v>
      </c>
      <c r="C11" s="26">
        <f>Apartment1!D11</f>
        <v>150</v>
      </c>
      <c r="D11" s="26">
        <f>Apartment2!D11</f>
        <v>150</v>
      </c>
      <c r="E11" s="26">
        <f>Apartment3!D11</f>
        <v>150</v>
      </c>
      <c r="F11" s="26">
        <f>Apartment4!D11</f>
        <v>150</v>
      </c>
      <c r="G11" s="26">
        <f>Apartment5!D11</f>
        <v>0</v>
      </c>
      <c r="H11" s="26">
        <f>Apartment6!D11</f>
        <v>300</v>
      </c>
      <c r="I11" s="26">
        <f>Apartment7!D11</f>
        <v>300</v>
      </c>
      <c r="J11" s="26">
        <f>Apartment8!D11</f>
        <v>300</v>
      </c>
      <c r="K11" s="26">
        <f>Apartment9!D11</f>
        <v>150</v>
      </c>
      <c r="L11" s="26">
        <f>Apartment10!D11</f>
        <v>150</v>
      </c>
      <c r="M11" s="26">
        <f>Apartment11!D11</f>
        <v>150</v>
      </c>
      <c r="N11" s="26">
        <f>Apartment12!D11</f>
        <v>250</v>
      </c>
      <c r="O11" s="26">
        <f>Apartment13!D11</f>
        <v>0</v>
      </c>
      <c r="P11" s="26">
        <f>Apartment14!D11</f>
        <v>0</v>
      </c>
    </row>
    <row r="12" spans="1:20" ht="23.25" x14ac:dyDescent="0.35">
      <c r="A12" s="8"/>
      <c r="B12" s="25">
        <v>7</v>
      </c>
      <c r="C12" s="26">
        <f>Apartment1!D12</f>
        <v>150</v>
      </c>
      <c r="D12" s="26">
        <f>Apartment2!D12</f>
        <v>150</v>
      </c>
      <c r="E12" s="26">
        <f>Apartment3!D12</f>
        <v>150</v>
      </c>
      <c r="F12" s="26">
        <f>Apartment4!D12</f>
        <v>150</v>
      </c>
      <c r="G12" s="26">
        <f>Apartment5!D12</f>
        <v>0</v>
      </c>
      <c r="H12" s="26">
        <f>Apartment6!D12</f>
        <v>300</v>
      </c>
      <c r="I12" s="26">
        <f>Apartment7!D12</f>
        <v>300</v>
      </c>
      <c r="J12" s="26">
        <f>Apartment8!D12</f>
        <v>0</v>
      </c>
      <c r="K12" s="26">
        <f>Apartment9!D12</f>
        <v>0</v>
      </c>
      <c r="L12" s="26">
        <f>Apartment10!D12</f>
        <v>150</v>
      </c>
      <c r="M12" s="26">
        <f>Apartment11!D12</f>
        <v>150</v>
      </c>
      <c r="N12" s="26">
        <f>Apartment12!D12</f>
        <v>250</v>
      </c>
      <c r="O12" s="26">
        <f>Apartment13!D12</f>
        <v>0</v>
      </c>
      <c r="P12" s="26">
        <f>Apartment14!D12</f>
        <v>0</v>
      </c>
    </row>
    <row r="13" spans="1:20" ht="23.25" x14ac:dyDescent="0.35">
      <c r="A13" s="8"/>
      <c r="B13" s="25">
        <v>8</v>
      </c>
      <c r="C13" s="26">
        <f>Apartment1!D13</f>
        <v>0</v>
      </c>
      <c r="D13" s="26">
        <f>Apartment2!D13</f>
        <v>0</v>
      </c>
      <c r="E13" s="26">
        <f>Apartment3!D13</f>
        <v>150</v>
      </c>
      <c r="F13" s="26">
        <f>Apartment4!D13</f>
        <v>150</v>
      </c>
      <c r="G13" s="26">
        <f>Apartment5!D13</f>
        <v>0</v>
      </c>
      <c r="H13" s="26">
        <f>Apartment6!D13</f>
        <v>300</v>
      </c>
      <c r="I13" s="26">
        <f>Apartment7!D13</f>
        <v>300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1050</v>
      </c>
      <c r="D5" s="92"/>
      <c r="E5" s="94">
        <f>D5-C5</f>
        <v>-1050</v>
      </c>
      <c r="F5" s="2" t="s">
        <v>50</v>
      </c>
      <c r="G5" s="91"/>
      <c r="H5" s="92"/>
      <c r="I5" s="94">
        <f>H5-G5</f>
        <v>0</v>
      </c>
      <c r="J5" s="2"/>
    </row>
    <row r="6" spans="1:14" ht="18" x14ac:dyDescent="0.25">
      <c r="A6" s="8">
        <v>2</v>
      </c>
      <c r="B6" s="20">
        <v>2</v>
      </c>
      <c r="C6" s="91">
        <f>Apartment2!D4</f>
        <v>675</v>
      </c>
      <c r="D6" s="92"/>
      <c r="E6" s="94">
        <f t="shared" ref="E6:E18" si="0">D6-C6</f>
        <v>-675</v>
      </c>
      <c r="F6" s="2" t="s">
        <v>51</v>
      </c>
      <c r="G6" s="91"/>
      <c r="H6" s="92"/>
      <c r="I6" s="94">
        <f t="shared" ref="I6:I18" si="1">H6-G6</f>
        <v>0</v>
      </c>
      <c r="J6" s="2"/>
    </row>
    <row r="7" spans="1:14" ht="18" x14ac:dyDescent="0.25">
      <c r="A7" s="8">
        <v>3</v>
      </c>
      <c r="B7" s="20">
        <v>3</v>
      </c>
      <c r="C7" s="91">
        <f>Apartment3!D4</f>
        <v>1200</v>
      </c>
      <c r="D7" s="92"/>
      <c r="E7" s="94">
        <f t="shared" si="0"/>
        <v>-1200</v>
      </c>
      <c r="F7" s="2" t="s">
        <v>48</v>
      </c>
      <c r="G7" s="91"/>
      <c r="H7" s="92"/>
      <c r="I7" s="94">
        <f t="shared" si="1"/>
        <v>0</v>
      </c>
      <c r="J7" s="2"/>
    </row>
    <row r="8" spans="1:14" ht="18" x14ac:dyDescent="0.25">
      <c r="A8" s="8">
        <v>4</v>
      </c>
      <c r="B8" s="20">
        <v>4</v>
      </c>
      <c r="C8" s="91">
        <f>Apartment4!D4</f>
        <v>1200</v>
      </c>
      <c r="D8" s="92"/>
      <c r="E8" s="94">
        <f t="shared" si="0"/>
        <v>-1200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2400</v>
      </c>
      <c r="D11" s="92"/>
      <c r="E11" s="94">
        <f t="shared" si="0"/>
        <v>-2400</v>
      </c>
      <c r="F11" s="2" t="s">
        <v>48</v>
      </c>
      <c r="G11" s="91"/>
      <c r="H11" s="92"/>
      <c r="I11" s="94">
        <f t="shared" si="1"/>
        <v>0</v>
      </c>
      <c r="J11" s="2"/>
    </row>
    <row r="12" spans="1:14" ht="18" x14ac:dyDescent="0.25">
      <c r="A12" s="8">
        <v>8</v>
      </c>
      <c r="B12" s="20">
        <v>8</v>
      </c>
      <c r="C12" s="91">
        <f>Apartment8!D4</f>
        <v>1800</v>
      </c>
      <c r="D12" s="92"/>
      <c r="E12" s="94">
        <f t="shared" si="0"/>
        <v>-1800</v>
      </c>
      <c r="F12" s="2" t="s">
        <v>120</v>
      </c>
      <c r="G12" s="91"/>
      <c r="H12" s="92"/>
      <c r="I12" s="94">
        <f t="shared" si="1"/>
        <v>0</v>
      </c>
      <c r="J12" s="2"/>
    </row>
    <row r="13" spans="1:14" ht="18" x14ac:dyDescent="0.25">
      <c r="A13" s="8">
        <v>9</v>
      </c>
      <c r="B13" s="20">
        <v>9</v>
      </c>
      <c r="C13" s="91">
        <f>Apartment9!D4</f>
        <v>900</v>
      </c>
      <c r="D13" s="92"/>
      <c r="E13" s="94">
        <f t="shared" si="0"/>
        <v>-900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1050</v>
      </c>
      <c r="D15" s="92"/>
      <c r="E15" s="94">
        <f t="shared" si="0"/>
        <v>-1050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13" sqref="C13"/>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1750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v>46216</v>
      </c>
      <c r="D12" s="33">
        <v>250</v>
      </c>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10" sqref="C10:C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1050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46225</v>
      </c>
      <c r="D9" s="90">
        <v>150</v>
      </c>
      <c r="E9" s="8"/>
      <c r="F9" s="8">
        <v>150</v>
      </c>
      <c r="G9" s="8" t="s">
        <v>101</v>
      </c>
      <c r="H9" s="2"/>
      <c r="I9" s="2"/>
      <c r="J9" s="2"/>
      <c r="K9" s="2"/>
      <c r="L9" s="2"/>
      <c r="M9" s="2"/>
    </row>
    <row r="10" spans="1:17" ht="18" x14ac:dyDescent="0.25">
      <c r="A10" s="8">
        <v>5</v>
      </c>
      <c r="B10" s="8">
        <v>5</v>
      </c>
      <c r="C10" s="9">
        <v>46225</v>
      </c>
      <c r="D10" s="90">
        <v>150</v>
      </c>
      <c r="E10" s="8"/>
      <c r="F10" s="8">
        <v>150</v>
      </c>
      <c r="G10" s="8" t="s">
        <v>102</v>
      </c>
      <c r="H10" s="2"/>
      <c r="I10" s="2"/>
      <c r="J10" s="2"/>
      <c r="K10" s="2"/>
      <c r="L10" s="2"/>
      <c r="M10" s="2"/>
    </row>
    <row r="11" spans="1:17" ht="18" x14ac:dyDescent="0.25">
      <c r="A11" s="8">
        <v>6</v>
      </c>
      <c r="B11" s="8">
        <v>6</v>
      </c>
      <c r="C11" s="9">
        <v>46225</v>
      </c>
      <c r="D11" s="90">
        <v>150</v>
      </c>
      <c r="E11" s="8"/>
      <c r="F11" s="8">
        <v>150</v>
      </c>
      <c r="G11" s="8" t="s">
        <v>103</v>
      </c>
      <c r="H11" s="2"/>
      <c r="I11" s="2"/>
      <c r="J11" s="2"/>
      <c r="K11" s="2"/>
      <c r="L11" s="2"/>
      <c r="M11" s="2"/>
    </row>
    <row r="12" spans="1:17" ht="18" x14ac:dyDescent="0.25">
      <c r="A12" s="8">
        <v>7</v>
      </c>
      <c r="B12" s="8">
        <v>7</v>
      </c>
      <c r="C12" s="9">
        <v>46225</v>
      </c>
      <c r="D12" s="90">
        <v>150</v>
      </c>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12" sqref="C12"/>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900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12" sqref="C12"/>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1800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46190</v>
      </c>
      <c r="D11" s="33">
        <v>300</v>
      </c>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C14" sqref="C14"/>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2400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v>300</v>
      </c>
      <c r="E12" s="8"/>
      <c r="F12" s="33">
        <v>300</v>
      </c>
      <c r="G12" s="8" t="s">
        <v>171</v>
      </c>
      <c r="H12" s="2"/>
      <c r="I12" s="2"/>
      <c r="J12" s="2"/>
      <c r="K12" s="2"/>
      <c r="L12" s="2"/>
      <c r="M12" s="2"/>
    </row>
    <row r="13" spans="1:17" ht="18" x14ac:dyDescent="0.25">
      <c r="A13" s="8">
        <v>8</v>
      </c>
      <c r="B13" s="33">
        <v>8</v>
      </c>
      <c r="C13" s="51">
        <v>46235</v>
      </c>
      <c r="D13" s="33">
        <v>300</v>
      </c>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C14" sqref="C14"/>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1200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v>150</v>
      </c>
      <c r="E12" s="8"/>
      <c r="F12" s="8">
        <v>150</v>
      </c>
      <c r="G12" s="8" t="s">
        <v>183</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C14" sqref="C14"/>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1200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v>150</v>
      </c>
      <c r="E12" s="8"/>
      <c r="F12" s="8">
        <v>150</v>
      </c>
      <c r="G12" s="8" t="s">
        <v>177</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4" workbookViewId="0">
      <selection activeCell="D11" sqref="D11:D12"/>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675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46266</v>
      </c>
      <c r="D12" s="8">
        <v>150</v>
      </c>
      <c r="E12" s="8"/>
      <c r="F12" s="33">
        <v>150</v>
      </c>
      <c r="G12" s="8" t="s">
        <v>231</v>
      </c>
      <c r="H12" s="2"/>
      <c r="I12" s="2"/>
      <c r="J12" s="2"/>
      <c r="K12" s="2"/>
      <c r="L12" s="2"/>
      <c r="M12" s="2"/>
    </row>
    <row r="13" spans="1:17" ht="18" x14ac:dyDescent="0.25">
      <c r="A13" s="33">
        <v>8</v>
      </c>
      <c r="B13" s="33">
        <v>8</v>
      </c>
      <c r="C13" s="77">
        <v>46266</v>
      </c>
      <c r="D13" s="8"/>
      <c r="E13" s="8"/>
      <c r="F13" s="33">
        <v>150</v>
      </c>
      <c r="G13" s="8" t="s">
        <v>232</v>
      </c>
      <c r="H13" s="2"/>
      <c r="I13" s="2"/>
      <c r="J13" s="2"/>
      <c r="K13" s="2"/>
      <c r="L13" s="2"/>
      <c r="M13" s="2"/>
    </row>
    <row r="14" spans="1:17" ht="18" x14ac:dyDescent="0.25">
      <c r="A14" s="33">
        <v>9</v>
      </c>
      <c r="B14" s="33">
        <v>9</v>
      </c>
      <c r="C14" s="77">
        <v>46299</v>
      </c>
      <c r="D14" s="8"/>
      <c r="E14" s="8"/>
      <c r="F14" s="33">
        <v>150</v>
      </c>
      <c r="G14" s="8" t="s">
        <v>233</v>
      </c>
      <c r="H14" s="2"/>
      <c r="I14" s="2"/>
      <c r="J14" s="2"/>
      <c r="K14" s="2"/>
      <c r="L14" s="2"/>
      <c r="M14" s="2"/>
    </row>
    <row r="15" spans="1:17" ht="18" x14ac:dyDescent="0.25">
      <c r="A15" s="33">
        <v>10</v>
      </c>
      <c r="B15" s="33">
        <v>10</v>
      </c>
      <c r="C15" s="77">
        <v>46299</v>
      </c>
      <c r="D15" s="8"/>
      <c r="E15" s="8"/>
      <c r="F15" s="33">
        <v>150</v>
      </c>
      <c r="G15" s="8" t="s">
        <v>234</v>
      </c>
      <c r="H15" s="2"/>
      <c r="I15" s="2"/>
      <c r="J15" s="2"/>
      <c r="K15" s="2"/>
      <c r="L15" s="2"/>
      <c r="M15" s="2"/>
    </row>
    <row r="16" spans="1:17" ht="18" x14ac:dyDescent="0.25">
      <c r="A16" s="33">
        <v>11</v>
      </c>
      <c r="B16" s="33">
        <v>11</v>
      </c>
      <c r="C16" s="77">
        <v>46350</v>
      </c>
      <c r="D16" s="8"/>
      <c r="E16" s="8"/>
      <c r="F16" s="33">
        <v>150</v>
      </c>
      <c r="G16" s="8" t="s">
        <v>235</v>
      </c>
      <c r="H16" s="2"/>
      <c r="I16" s="2"/>
      <c r="J16" s="2"/>
      <c r="K16" s="2"/>
      <c r="L16" s="2"/>
      <c r="M16" s="2"/>
    </row>
    <row r="17" spans="1:13" ht="18" x14ac:dyDescent="0.25">
      <c r="A17" s="33">
        <v>12</v>
      </c>
      <c r="B17" s="33">
        <v>12</v>
      </c>
      <c r="C17" s="77">
        <v>46350</v>
      </c>
      <c r="D17" s="8"/>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D10" sqref="D10:D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1050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111">
        <v>46232</v>
      </c>
      <c r="D11" s="73">
        <v>150</v>
      </c>
      <c r="E11" s="8"/>
      <c r="F11" s="73">
        <v>150</v>
      </c>
      <c r="G11" s="8" t="s">
        <v>227</v>
      </c>
      <c r="H11" s="2"/>
      <c r="I11" s="2"/>
      <c r="J11" s="2"/>
      <c r="K11" s="2"/>
      <c r="L11" s="2"/>
      <c r="M11" s="2"/>
    </row>
    <row r="12" spans="1:17" ht="18" x14ac:dyDescent="0.25">
      <c r="A12" s="8">
        <v>7</v>
      </c>
      <c r="B12" s="73">
        <v>7</v>
      </c>
      <c r="C12" s="111">
        <v>46232</v>
      </c>
      <c r="D12" s="73">
        <v>150</v>
      </c>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55" workbookViewId="0">
      <selection activeCell="B71" sqref="B71"/>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15767</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288</v>
      </c>
    </row>
    <row r="57" spans="1:11" ht="18" x14ac:dyDescent="0.25">
      <c r="A57" s="8">
        <v>52</v>
      </c>
      <c r="B57" s="51">
        <v>46190</v>
      </c>
      <c r="C57" s="55">
        <v>300</v>
      </c>
      <c r="D57" s="8"/>
      <c r="E57" s="8" t="s">
        <v>249</v>
      </c>
      <c r="F57" s="8">
        <v>8</v>
      </c>
      <c r="G57" s="8" t="s">
        <v>288</v>
      </c>
      <c r="H57" s="2"/>
      <c r="I57" s="2"/>
      <c r="J57" s="2"/>
      <c r="K57" s="2"/>
    </row>
    <row r="58" spans="1:11" ht="18" x14ac:dyDescent="0.25">
      <c r="A58" s="8">
        <v>53</v>
      </c>
      <c r="B58" s="51">
        <v>46195</v>
      </c>
      <c r="C58" s="55">
        <v>58</v>
      </c>
      <c r="D58" s="8"/>
      <c r="E58" s="8" t="s">
        <v>260</v>
      </c>
      <c r="F58" s="8"/>
      <c r="G58" s="8" t="s">
        <v>294</v>
      </c>
    </row>
    <row r="59" spans="1:11" ht="18" x14ac:dyDescent="0.25">
      <c r="A59" s="8">
        <v>54</v>
      </c>
      <c r="B59" s="51">
        <v>46204</v>
      </c>
      <c r="C59" s="55">
        <v>300</v>
      </c>
      <c r="E59" s="8" t="s">
        <v>48</v>
      </c>
      <c r="F59" s="8">
        <v>7</v>
      </c>
      <c r="G59" s="8" t="s">
        <v>295</v>
      </c>
    </row>
    <row r="60" spans="1:11" ht="18" x14ac:dyDescent="0.25">
      <c r="A60" s="8">
        <v>55</v>
      </c>
      <c r="B60" s="51">
        <v>46204</v>
      </c>
      <c r="C60" s="55">
        <v>150</v>
      </c>
      <c r="D60" s="8"/>
      <c r="E60" s="8" t="s">
        <v>244</v>
      </c>
      <c r="F60" s="8">
        <v>4</v>
      </c>
      <c r="G60" s="8" t="s">
        <v>295</v>
      </c>
    </row>
    <row r="61" spans="1:11" ht="18" x14ac:dyDescent="0.25">
      <c r="A61" s="8">
        <v>56</v>
      </c>
      <c r="B61" s="51">
        <v>46204</v>
      </c>
      <c r="C61" s="55">
        <v>150</v>
      </c>
      <c r="D61" s="8"/>
      <c r="E61" s="8" t="s">
        <v>141</v>
      </c>
      <c r="F61" s="8">
        <v>3</v>
      </c>
      <c r="G61" s="8" t="s">
        <v>295</v>
      </c>
    </row>
    <row r="62" spans="1:11" ht="18" x14ac:dyDescent="0.25">
      <c r="A62" s="8">
        <v>57</v>
      </c>
      <c r="B62" s="51">
        <v>46204</v>
      </c>
      <c r="C62" s="55">
        <v>150</v>
      </c>
      <c r="E62" s="8" t="s">
        <v>160</v>
      </c>
      <c r="F62" s="8">
        <v>2</v>
      </c>
      <c r="G62" s="8" t="s">
        <v>296</v>
      </c>
    </row>
    <row r="63" spans="1:11" ht="18" x14ac:dyDescent="0.25">
      <c r="A63" s="8">
        <v>58</v>
      </c>
      <c r="B63" s="51">
        <v>46216</v>
      </c>
      <c r="C63" s="55">
        <v>250</v>
      </c>
      <c r="D63" s="8"/>
      <c r="E63" s="8" t="s">
        <v>142</v>
      </c>
      <c r="F63" s="8">
        <v>12</v>
      </c>
      <c r="G63" s="8" t="s">
        <v>295</v>
      </c>
    </row>
    <row r="64" spans="1:11" ht="18" x14ac:dyDescent="0.25">
      <c r="A64" s="8">
        <v>59</v>
      </c>
      <c r="B64" s="51">
        <v>46225</v>
      </c>
      <c r="C64" s="55">
        <v>600</v>
      </c>
      <c r="E64" s="8" t="s">
        <v>187</v>
      </c>
      <c r="F64" s="8">
        <v>11</v>
      </c>
      <c r="G64" s="8" t="s">
        <v>300</v>
      </c>
    </row>
    <row r="65" spans="1:7" ht="18" x14ac:dyDescent="0.25">
      <c r="A65" s="8">
        <v>60</v>
      </c>
      <c r="B65" s="51">
        <v>46228</v>
      </c>
      <c r="C65" s="55">
        <v>58</v>
      </c>
      <c r="D65" s="8"/>
      <c r="E65" s="8" t="s">
        <v>260</v>
      </c>
      <c r="F65" s="8"/>
      <c r="G65" s="8" t="s">
        <v>301</v>
      </c>
    </row>
    <row r="66" spans="1:7" ht="18" x14ac:dyDescent="0.25">
      <c r="A66" s="8">
        <v>61</v>
      </c>
      <c r="B66" s="51">
        <v>46228</v>
      </c>
      <c r="C66" s="55">
        <v>240</v>
      </c>
      <c r="E66" s="8" t="s">
        <v>260</v>
      </c>
      <c r="F66" s="8"/>
      <c r="G66" s="8" t="s">
        <v>302</v>
      </c>
    </row>
    <row r="67" spans="1:7" ht="18" x14ac:dyDescent="0.25">
      <c r="A67" s="8">
        <v>62</v>
      </c>
      <c r="B67" s="51">
        <v>46232</v>
      </c>
      <c r="C67" s="55">
        <v>300</v>
      </c>
      <c r="D67" s="8"/>
      <c r="E67" s="8" t="s">
        <v>186</v>
      </c>
      <c r="F67" s="8">
        <v>1</v>
      </c>
      <c r="G67" s="8" t="s">
        <v>304</v>
      </c>
    </row>
    <row r="68" spans="1:7" ht="18" x14ac:dyDescent="0.25">
      <c r="A68" s="8">
        <v>63</v>
      </c>
      <c r="B68" s="51">
        <v>46235</v>
      </c>
      <c r="C68" s="55">
        <v>300</v>
      </c>
      <c r="E68" s="8" t="s">
        <v>48</v>
      </c>
      <c r="F68" s="8">
        <v>7</v>
      </c>
      <c r="G68" s="8" t="s">
        <v>305</v>
      </c>
    </row>
    <row r="69" spans="1:7" ht="18" x14ac:dyDescent="0.25">
      <c r="A69" s="8">
        <v>64</v>
      </c>
      <c r="B69" s="51">
        <v>46235</v>
      </c>
      <c r="C69" s="55">
        <v>150</v>
      </c>
      <c r="D69" s="8"/>
      <c r="E69" s="8" t="s">
        <v>244</v>
      </c>
      <c r="F69" s="8">
        <v>4</v>
      </c>
      <c r="G69" s="8" t="s">
        <v>305</v>
      </c>
    </row>
    <row r="70" spans="1:7" ht="18" x14ac:dyDescent="0.25">
      <c r="A70" s="8">
        <v>65</v>
      </c>
      <c r="B70" s="51">
        <v>46235</v>
      </c>
      <c r="C70" s="55">
        <v>150</v>
      </c>
      <c r="D70" s="8"/>
      <c r="E70" s="8" t="s">
        <v>141</v>
      </c>
      <c r="F70" s="8">
        <v>3</v>
      </c>
      <c r="G70" s="8" t="s">
        <v>305</v>
      </c>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tabSelected="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15767</v>
      </c>
      <c r="D5" s="71">
        <f>outcomes!C3</f>
        <v>18571</v>
      </c>
      <c r="E5" s="72">
        <f>(C3+C5)-D5</f>
        <v>11098</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25" workbookViewId="0">
      <selection activeCell="B42" sqref="B42"/>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18571</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v>46189</v>
      </c>
      <c r="C33" s="55">
        <v>238</v>
      </c>
      <c r="D33" s="8" t="s">
        <v>291</v>
      </c>
      <c r="E33" s="2"/>
      <c r="F33" s="2"/>
      <c r="G33" s="2"/>
      <c r="H33" s="2"/>
      <c r="I33" s="2"/>
      <c r="J33" s="2"/>
      <c r="T33" t="s">
        <v>151</v>
      </c>
    </row>
    <row r="34" spans="1:20" ht="18" x14ac:dyDescent="0.25">
      <c r="A34" s="33">
        <v>30</v>
      </c>
      <c r="B34" s="60">
        <v>46189</v>
      </c>
      <c r="C34" s="55">
        <v>5</v>
      </c>
      <c r="D34" s="8" t="s">
        <v>275</v>
      </c>
      <c r="E34" s="2"/>
      <c r="F34" s="2"/>
      <c r="G34" s="2"/>
      <c r="H34" s="2"/>
      <c r="I34" s="2"/>
      <c r="J34" s="2"/>
    </row>
    <row r="35" spans="1:20" ht="18" x14ac:dyDescent="0.25">
      <c r="A35" s="33">
        <v>31</v>
      </c>
      <c r="B35" s="60">
        <v>46197</v>
      </c>
      <c r="C35" s="55">
        <v>1030</v>
      </c>
      <c r="D35" s="8" t="s">
        <v>292</v>
      </c>
    </row>
    <row r="36" spans="1:20" ht="18" x14ac:dyDescent="0.25">
      <c r="A36" s="33">
        <v>32</v>
      </c>
      <c r="B36" s="60">
        <v>46197</v>
      </c>
      <c r="C36" s="55">
        <v>400</v>
      </c>
      <c r="D36" s="8" t="s">
        <v>293</v>
      </c>
    </row>
    <row r="37" spans="1:20" ht="18" x14ac:dyDescent="0.25">
      <c r="A37" s="33">
        <v>33</v>
      </c>
      <c r="B37" s="96">
        <v>46217</v>
      </c>
      <c r="C37" s="55">
        <v>20</v>
      </c>
      <c r="D37" s="8" t="s">
        <v>297</v>
      </c>
    </row>
    <row r="38" spans="1:20" ht="18" x14ac:dyDescent="0.25">
      <c r="A38" s="33">
        <v>34</v>
      </c>
      <c r="B38" s="60">
        <v>46220</v>
      </c>
      <c r="C38" s="55">
        <v>231</v>
      </c>
      <c r="D38" s="8" t="s">
        <v>298</v>
      </c>
    </row>
    <row r="39" spans="1:20" ht="18" x14ac:dyDescent="0.25">
      <c r="A39" s="33">
        <v>35</v>
      </c>
      <c r="B39" s="60">
        <v>46225</v>
      </c>
      <c r="C39" s="55">
        <v>1030</v>
      </c>
      <c r="D39" s="8" t="s">
        <v>299</v>
      </c>
    </row>
    <row r="40" spans="1:20" ht="18" x14ac:dyDescent="0.25">
      <c r="A40" s="33">
        <v>36</v>
      </c>
      <c r="B40" s="60">
        <v>46234</v>
      </c>
      <c r="C40" s="55">
        <v>400</v>
      </c>
      <c r="D40" s="8" t="s">
        <v>303</v>
      </c>
      <c r="E40" s="2"/>
    </row>
    <row r="41" spans="1:20" ht="18" x14ac:dyDescent="0.25">
      <c r="A41" s="33">
        <v>37</v>
      </c>
      <c r="B41" s="60">
        <v>46234</v>
      </c>
      <c r="C41" s="55">
        <v>50</v>
      </c>
      <c r="D41" s="8" t="s">
        <v>277</v>
      </c>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2026-08-01T11:12:10Z</dcterms:modified>
</cp:coreProperties>
</file>
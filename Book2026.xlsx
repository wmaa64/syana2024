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CBAA1C9B-3EB5-49F0-94B2-1A3D2A804D4C}"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<sst xmlns="http://schemas.openxmlformats.org/spreadsheetml/2006/main" count="920" uniqueCount="325">
  <si>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</si>
  <si>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</si>
  <si>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</si>
  <si>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</si>
  <si>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</si>
  <si>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</si>
  <si>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</si>
  <si>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</si>
  <si>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</si>
  <si>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</si>
  <si>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</si>
  <si>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</si>
  <si>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</si>
  <si>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</si>
  <si>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</si>
  <si>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</si>
  <si>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</si>
  <si>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</si>
  <si>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</si>
  <si>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</si>
  <si>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</si>
  <si>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</si>
  <si>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</si>
  <si>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</si>
  <si>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</si>
  <si>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</si>
  <si>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</si>
  <si>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</si>
  <si>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</si>
  <si>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</si>
  <si>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</si>
  <si>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</si>
  <si>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</si>
  <si>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</si>
  <si>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</si>
  <si>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</si>
  <si>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</si>
  <si>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</si>
  <si>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</si>
  <si>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</si>
  <si>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</si>
  <si>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</si>
  <si>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</si>
  <si>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</si>
  <si>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</si>
  <si>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</si>
  <si>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</si>
  <si>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</si>
  <si>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</si>
  <si>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</si>
  <si>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</si>
  <si>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</si>
  <si>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</si>
  <si>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</si>
  <si>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</si>
  <si>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</si>
  <si>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</si>
  <si>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</si>
  <si>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</si>
  <si>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</si>
  <si>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</si>
  <si>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</si>
  <si>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</si>
  <si>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</si>
  <si>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</si>
  <si>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</si>
  <si>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</si>
  <si>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</si>
  <si>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</si>
  <si>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</si>
  <si>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</si>
  <si>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</si>
  <si>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</si>
  <si>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</si>
  <si>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</si>
  <si>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</si>
  <si>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</si>
  <si>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</si>
  <si>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</si>
  <si>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</si>
  <si>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</si>
  <si>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</si>
  <si>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</si>
  <si>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</si>
  <si>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</si>
  <si>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</si>
  <si>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</si>
  <si>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</si>
  <si>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</si>
  <si>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</si>
  <si>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</si>
  <si>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</si>
  <si>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</si>
  <si>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</si>
  <si>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</si>
  <si>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</si>
  <si>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</si>
  <si>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</si>
  <si>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</si>
  <si>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</si>
  <si>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</si>
  <si>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</si>
  <si>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</si>
  <si>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</si>
  <si>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</si>
  <si>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</si>
  <si>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</si>
  <si>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</si>
  <si>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</si>
  <si>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</si>
  <si>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</si>
  <si>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</si>
  <si>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</si>
  <si>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</si>
  <si>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</si>
  <si>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</si>
  <si>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</si>
  <si>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</si>
  <si>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</si>
  <si>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</si>
  <si>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</si>
  <si>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</si>
  <si>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</si>
  <si>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</si>
  <si>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</si>
  <si>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</si>
  <si>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</si>
  <si>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</si>
  <si>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</si>
  <si>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</si>
  <si>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</si>
  <si>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</si>
  <si>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</si>
  <si>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</si>
  <si>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</si>
  <si>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</si>
  <si>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</si>
  <si>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</si>
  <si>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</si>
  <si>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</si>
  <si>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</si>
  <si>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</si>
  <si>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</si>
  <si>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</si>
  <si>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</si>
  <si>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</si>
  <si>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</si>
  <si>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</si>
  <si>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</si>
  <si>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</si>
  <si>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</si>
  <si>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</si>
  <si>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</si>
  <si>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</si>
  <si>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</si>
  <si>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</si>
  <si>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</si>
  <si>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</si>
  <si>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</si>
  <si>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</si>
  <si>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</si>
  <si>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</si>
  <si>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</si>
  <si>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</si>
  <si>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</si>
  <si>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</si>
  <si>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</si>
  <si>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</si>
  <si>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</si>
  <si>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</si>
  <si>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</si>
  <si>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</si>
  <si>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</si>
  <si>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</si>
  <si>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</si>
  <si>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</si>
  <si>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</si>
  <si>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</si>
  <si>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</si>
  <si>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</si>
  <si>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</si>
  <si>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</si>
  <si>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</si>
  <si>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</si>
  <si>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</si>
  <si>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</si>
  <si>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</si>
  <si>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</si>
  <si>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</si>
  <si>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</si>
  <si>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</si>
  <si>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</si>
  <si>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</si>
  <si>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</si>
  <si>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</si>
  <si>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</si>
  <si>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</si>
  <si>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</si>
  <si>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</si>
  <si>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</si>
  <si>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</si>
  <si>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</si>
  <si>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</si>
  <si>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</si>
  <si>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</si>
  <si>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</si>
  <si>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</si>
  <si>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</si>
  <si>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</si>
  <si>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</si>
  <si>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</si>
  <si>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</si>
  <si>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</si>
  <si>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</si>
  <si>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</si>
  <si>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</si>
  <si>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</si>
  <si>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</si>
  <si>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</si>
  <si>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</si>
  <si>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</si>
  <si>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</si>
  <si>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</si>
  <si>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</si>
  <si>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</si>
  <si>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</si>
  <si>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</si>
  <si>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</si>
  <si>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</si>
  <si>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</si>
  <si>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</si>
  <si>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</si>
  <si>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</si>
  <si>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</si>
  <si>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</si>
  <si>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</si>
  <si>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</si>
  <si>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</si>
  <si>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</si>
  <si>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</si>
  <si>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</si>
  <si>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</si>
  <si>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</si>
  <si>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</si>
  <si>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</si>
  <si>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</si>
  <si>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</si>
  <si>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</si>
  <si>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</si>
  <si>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</si>
  <si>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</si>
  <si>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</si>
  <si>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</si>
  <si>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</si>
  <si>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</si>
  <si>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</si>
  <si>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</si>
  <si>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</si>
  <si>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</si>
  <si>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</si>
  <si>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</si>
  <si>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</si>
  <si>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</si>
  <si>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</si>
  <si>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</si>
  <si>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</si>
  <si>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</si>
  <si>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</si>
  <si>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</si>
  <si>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</si>
  <si>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</si>
  <si>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</si>
  <si>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</si>
  <si>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</si>
  <si>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</si>
  <si>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</si>
  <si>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</si>
  <si>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</si>
  <si>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</si>
  <si>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</si>
  <si>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</si>
  <si>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</si>
  <si>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</si>
  <si>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</si>
  <si>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</si>
  <si>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</si>
  <si>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</si>
  <si>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</si>
  <si>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</si>
  <si>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</si>
  <si>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</si>
  <si>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</si>
  <si>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</si>
  <si>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</si>
  <si>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</si>
  <si>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</si>
  <si>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</si>
  <si>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</si>
  <si>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</si>
  <si>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</si>
  <si>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</si>
  <si>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</si>
  <si>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</si>
  <si>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</si>
  <si>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</si>
  <si>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</si>
  <si>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</si>
  <si>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</si>
  <si>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</si>
  <si>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</si>
  <si>
    <t>تحت حساب نظافة السلم لام احمد عن شهر اغسطس /2026</t>
  </si>
  <si>
    <t>تحت حساب كهرباء شهر اغسطس /2026</t>
  </si>
  <si>
    <t>تحت حساب صيانة شهور سبتمبر - اكتوبر- نوفمبر - ديسمبر / 2026</t>
  </si>
  <si>
    <t>تحت حساب صيانة شهر يوليه واغسطس /2026</t>
  </si>
  <si>
    <t>تحت حساب كهرباء شهر سبتمبر /2026</t>
  </si>
  <si>
    <t>تحت حساب فاتورة المياه عن شهر سبتمبر /2026</t>
  </si>
  <si>
    <t>تحت حساب نظافة المجارى فى الجراج</t>
  </si>
  <si>
    <t>تحت حساب نظافة السلم لام احمد عن شهر سبتمبر /2026</t>
  </si>
  <si>
    <t>تحت حساب فوائد شهادة  رقم 1807951149146700023 بتاريخ اصدار 21- ديسمبر - 2025 بفائدة 14%، عن شهر سبتمبر / 2026</t>
  </si>
  <si>
    <t>تحت حساب فوائد شهادة  رقم 1807951149146700023 بتاريخ اصدار 21- ديسمبر - 2025 بفائدة 14%، عن شهر اكتوبر / 2026</t>
  </si>
  <si>
    <t>تحت حساب فوائد شهادة  رقم 1807581149146700038 بتاريخ اصدار 4- يناير - 2026 بفائدة 19.25%، عن شهر اكتوبر / 2026</t>
  </si>
  <si>
    <t>تحت حساب صيانة شهر اغسطس و سبتمبر /2026</t>
  </si>
  <si>
    <t xml:space="preserve">تحت حساب صيانة شهور 6، 7، 8، 9، 10  / 2026 </t>
  </si>
  <si>
    <t>تحت حساب نظافة السلم لام احمد عن شهر اكتوبر /2026</t>
  </si>
  <si>
    <t>تحت حساب كهرباء شهر اكتوبر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</si>
</sst>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1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164" fontId="1" fillId="9"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100" t="s">
        <v>117</v>
      </c>
      <c r="D2" s="100"/>
      <c r="E2" s="100"/>
      <c r="F2" s="100"/>
      <c r="G2" s="100"/>
      <c r="H2" s="100"/>
      <c r="I2" s="100"/>
      <c r="J2" s="100"/>
      <c r="K2" s="100"/>
      <c r="L2" s="100"/>
      <c r="M2" s="100"/>
      <c r="N2" s="100"/>
      <c r="O2" s="100"/>
      <c r="P2" s="100"/>
      <c r="Q2" s="100"/>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1" t="s">
        <v>212</v>
      </c>
      <c r="D2" s="101"/>
      <c r="E2" s="101"/>
      <c r="F2" s="101"/>
      <c r="G2" s="101"/>
      <c r="H2" s="101"/>
      <c r="I2" s="101"/>
      <c r="J2" s="101"/>
      <c r="K2" s="101"/>
      <c r="L2" s="101"/>
      <c r="M2" s="101"/>
      <c r="N2" s="101"/>
      <c r="O2" s="19"/>
    </row>
    <row r="3" spans="1:17" ht="20.25" x14ac:dyDescent="0.25">
      <c r="C3" s="83"/>
      <c r="F3" s="102" t="s">
        <v>236</v>
      </c>
      <c r="G3" s="102"/>
      <c r="H3" s="102"/>
      <c r="I3" s="102"/>
      <c r="J3" s="102"/>
      <c r="K3" s="102"/>
      <c r="L3" s="102"/>
      <c r="M3" s="102"/>
      <c r="N3" s="102"/>
      <c r="O3" s="102"/>
      <c r="P3" s="102"/>
      <c r="Q3" s="102"/>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1" t="s">
        <v>185</v>
      </c>
      <c r="D2" s="101"/>
      <c r="E2" s="101"/>
      <c r="F2" s="101"/>
      <c r="G2" s="101"/>
      <c r="H2" s="101"/>
      <c r="I2" s="101"/>
      <c r="J2" s="101"/>
      <c r="K2" s="101"/>
      <c r="L2" s="101"/>
      <c r="M2" s="101"/>
      <c r="N2" s="101"/>
      <c r="O2" s="19"/>
    </row>
    <row r="3" spans="1:17" ht="20.25" x14ac:dyDescent="0.25">
      <c r="C3" s="83"/>
      <c r="F3" s="102" t="s">
        <v>188</v>
      </c>
      <c r="G3" s="102"/>
      <c r="H3" s="102"/>
      <c r="I3" s="102"/>
      <c r="J3" s="102"/>
      <c r="K3" s="102"/>
      <c r="L3" s="102"/>
      <c r="M3" s="102"/>
      <c r="N3" s="102"/>
      <c r="O3" s="102"/>
      <c r="P3" s="102"/>
      <c r="Q3" s="102"/>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100" t="s">
        <v>36</v>
      </c>
      <c r="C2" s="100"/>
      <c r="D2" s="100"/>
      <c r="E2" s="100"/>
      <c r="F2" s="100"/>
      <c r="G2" s="100"/>
      <c r="H2" s="100"/>
      <c r="I2" s="100"/>
      <c r="J2" s="100"/>
      <c r="K2" s="100"/>
      <c r="L2" s="100"/>
      <c r="M2" s="100"/>
      <c r="N2" s="100"/>
      <c r="O2" s="100"/>
      <c r="P2" s="100"/>
      <c r="Q2" s="100"/>
      <c r="R2" s="100"/>
      <c r="S2" s="100"/>
      <c r="T2" s="100"/>
      <c r="U2" s="100"/>
      <c r="V2" s="100"/>
      <c r="W2" s="100"/>
      <c r="X2" s="100"/>
      <c r="Y2" s="100"/>
      <c r="Z2" s="100"/>
      <c r="AA2" s="100"/>
      <c r="AB2" s="100"/>
      <c r="AC2" s="100"/>
      <c r="AD2" s="100"/>
      <c r="AE2" s="100"/>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R15" sqref="R15"/>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3" t="s">
        <v>140</v>
      </c>
      <c r="D1" s="103"/>
      <c r="E1" s="103"/>
      <c r="F1" s="103"/>
      <c r="G1" s="103"/>
      <c r="H1" s="103"/>
      <c r="I1" s="103"/>
      <c r="J1" s="103"/>
      <c r="K1" s="103"/>
      <c r="L1" s="103"/>
      <c r="M1" s="103"/>
      <c r="N1" s="103"/>
      <c r="O1" s="103"/>
    </row>
    <row r="2" spans="1:20" ht="26.25" x14ac:dyDescent="0.4">
      <c r="B2" s="18"/>
      <c r="C2" s="100"/>
      <c r="D2" s="100"/>
      <c r="E2" s="100"/>
      <c r="F2" s="100"/>
      <c r="G2" s="100"/>
      <c r="H2" s="100"/>
      <c r="I2" s="100"/>
      <c r="J2" s="100"/>
      <c r="K2" s="100"/>
      <c r="L2" s="100"/>
      <c r="M2" s="100"/>
      <c r="N2" s="100"/>
      <c r="O2" s="100"/>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150</v>
      </c>
      <c r="P11" s="26">
        <f>Apartment14!D11</f>
        <v>150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300</v>
      </c>
      <c r="K12" s="26">
        <f>Apartment9!D12</f>
        <v>150</v>
      </c>
      <c r="L12" s="26">
        <f>Apartment10!D12</f>
        <v>150</v>
      </c>
      <c r="M12" s="26">
        <f>Apartment11!D12</f>
        <v>150</v>
      </c>
      <c r="N12" s="26">
        <f>Apartment12!D12</f>
        <v>250</v>
      </c>
      <c r="O12" s="26">
        <f>Apartment13!D12</f>
        <v>150</v>
      </c>
      <c r="P12" s="26">
        <f>Apartment14!D12</f>
        <v>150</v>
      </c>
    </row>
    <row r="13" spans="1:20" ht="23.25" x14ac:dyDescent="0.35">
      <c r="A13" s="8"/>
      <c r="B13" s="25">
        <v>8</v>
      </c>
      <c r="C13" s="26">
        <f>Apartment1!D13</f>
        <v>150</v>
      </c>
      <c r="D13" s="26">
        <f>Apartment2!D13</f>
        <v>150</v>
      </c>
      <c r="E13" s="26">
        <f>Apartment3!D13</f>
        <v>150</v>
      </c>
      <c r="F13" s="26">
        <f>Apartment4!D13</f>
        <v>150</v>
      </c>
      <c r="G13" s="26">
        <f>Apartment5!D13</f>
        <v>0</v>
      </c>
      <c r="H13" s="26">
        <f>Apartment6!D13</f>
        <v>300</v>
      </c>
      <c r="I13" s="26">
        <f>Apartment7!D13</f>
        <v>300</v>
      </c>
      <c r="J13" s="26">
        <f>Apartment8!D13</f>
        <v>300</v>
      </c>
      <c r="K13" s="26">
        <f>Apartment9!D13</f>
        <v>150</v>
      </c>
      <c r="L13" s="26">
        <f>Apartment10!D13</f>
        <v>150</v>
      </c>
      <c r="M13" s="26">
        <f>Apartment11!D13</f>
        <v>0</v>
      </c>
      <c r="N13" s="26">
        <f>Apartment12!D13</f>
        <v>250</v>
      </c>
      <c r="O13" s="26">
        <f>Apartment13!D13</f>
        <v>150</v>
      </c>
      <c r="P13" s="26">
        <f>Apartment14!D13</f>
        <v>150</v>
      </c>
    </row>
    <row r="14" spans="1:20" ht="23.25" x14ac:dyDescent="0.35">
      <c r="A14" s="8"/>
      <c r="B14" s="25">
        <v>9</v>
      </c>
      <c r="C14" s="26">
        <f>Apartment1!D14</f>
        <v>150</v>
      </c>
      <c r="D14" s="26">
        <f>Apartment2!D14</f>
        <v>150</v>
      </c>
      <c r="E14" s="26">
        <f>Apartment3!D14</f>
        <v>150</v>
      </c>
      <c r="F14" s="26">
        <f>Apartment4!D14</f>
        <v>150</v>
      </c>
      <c r="G14" s="26">
        <f>Apartment5!D14</f>
        <v>0</v>
      </c>
      <c r="H14" s="26">
        <f>Apartment6!D14</f>
        <v>300</v>
      </c>
      <c r="I14" s="26">
        <f>Apartment7!D14</f>
        <v>300</v>
      </c>
      <c r="J14" s="26">
        <f>Apartment8!D14</f>
        <v>300</v>
      </c>
      <c r="K14" s="26">
        <f>Apartment9!D14</f>
        <v>150</v>
      </c>
      <c r="L14" s="26">
        <f>Apartment10!D14</f>
        <v>150</v>
      </c>
      <c r="M14" s="26">
        <f>Apartment11!D14</f>
        <v>0</v>
      </c>
      <c r="N14" s="26">
        <f>Apartment12!D14</f>
        <v>0</v>
      </c>
      <c r="O14" s="26">
        <f>Apartment13!D14</f>
        <v>150</v>
      </c>
      <c r="P14" s="26">
        <f>Apartment14!D14</f>
        <v>150</v>
      </c>
    </row>
    <row r="15" spans="1:20" ht="23.25" x14ac:dyDescent="0.35">
      <c r="A15" s="8"/>
      <c r="B15" s="25">
        <v>10</v>
      </c>
      <c r="C15" s="26">
        <f>Apartment1!D15</f>
        <v>0</v>
      </c>
      <c r="D15" s="26">
        <f>Apartment2!D15</f>
        <v>150</v>
      </c>
      <c r="E15" s="26">
        <f>Apartment3!D15</f>
        <v>150</v>
      </c>
      <c r="F15" s="26">
        <f>Apartment4!D15</f>
        <v>150</v>
      </c>
      <c r="G15" s="26">
        <f>Apartment5!D15</f>
        <v>0</v>
      </c>
      <c r="H15" s="26">
        <f>Apartment6!D15</f>
        <v>300</v>
      </c>
      <c r="I15" s="26">
        <f>Apartment7!D15</f>
        <v>300</v>
      </c>
      <c r="J15" s="26">
        <f>Apartment8!D15</f>
        <v>0</v>
      </c>
      <c r="K15" s="26">
        <f>Apartment9!D15</f>
        <v>0</v>
      </c>
      <c r="L15" s="26">
        <f>Apartment10!D15</f>
        <v>150</v>
      </c>
      <c r="M15" s="26">
        <f>Apartment11!D15</f>
        <v>0</v>
      </c>
      <c r="N15" s="26">
        <f>Apartment12!D15</f>
        <v>0</v>
      </c>
      <c r="O15" s="26">
        <f>Apartment13!D15</f>
        <v>150</v>
      </c>
      <c r="P15" s="26">
        <f>Apartment14!D15</f>
        <v>150</v>
      </c>
    </row>
    <row r="16" spans="1:20" ht="23.25" x14ac:dyDescent="0.35">
      <c r="A16" s="8"/>
      <c r="B16" s="25">
        <v>11</v>
      </c>
      <c r="C16" s="26">
        <f>Apartment1!D16</f>
        <v>0</v>
      </c>
      <c r="D16" s="26">
        <f>Apartment2!D16</f>
        <v>150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150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100" t="s">
        <v>47</v>
      </c>
      <c r="D2" s="100"/>
      <c r="E2" s="100"/>
      <c r="F2" s="100"/>
      <c r="G2" s="100"/>
      <c r="H2" s="100"/>
      <c r="I2" s="100"/>
      <c r="J2" s="100"/>
      <c r="K2" s="100"/>
      <c r="L2" s="100"/>
      <c r="M2" s="100"/>
      <c r="N2" s="100"/>
    </row>
    <row r="3" spans="1:14" ht="18" x14ac:dyDescent="0.25">
      <c r="C3" s="83"/>
      <c r="G3" s="104" t="s">
        <v>94</v>
      </c>
      <c r="H3" s="104"/>
      <c r="I3" s="104"/>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1350</v>
      </c>
      <c r="D5" s="92"/>
      <c r="E5" s="94">
        <f>D5-C5</f>
        <v>-1350</v>
      </c>
      <c r="F5" s="2" t="s">
        <v>50</v>
      </c>
      <c r="G5" s="91"/>
      <c r="H5" s="92"/>
      <c r="I5" s="94">
        <f>H5-G5</f>
        <v>0</v>
      </c>
      <c r="J5" s="2"/>
    </row>
    <row r="6" spans="1:14" ht="18" x14ac:dyDescent="0.25">
      <c r="A6" s="8">
        <v>2</v>
      </c>
      <c r="B6" s="20">
        <v>2</v>
      </c>
      <c r="C6" s="91">
        <f>Apartment2!D4</f>
        <v>1425</v>
      </c>
      <c r="D6" s="92"/>
      <c r="E6" s="94">
        <f t="shared" ref="E6:E18" si="0">D6-C6</f>
        <v>-1425</v>
      </c>
      <c r="F6" s="2" t="s">
        <v>51</v>
      </c>
      <c r="G6" s="91"/>
      <c r="H6" s="92"/>
      <c r="I6" s="94">
        <f t="shared" ref="I6:I18" si="1">H6-G6</f>
        <v>0</v>
      </c>
      <c r="J6" s="2"/>
    </row>
    <row r="7" spans="1:14" ht="18" x14ac:dyDescent="0.25">
      <c r="A7" s="8">
        <v>3</v>
      </c>
      <c r="B7" s="20">
        <v>3</v>
      </c>
      <c r="C7" s="91">
        <f>Apartment3!D4</f>
        <v>1500</v>
      </c>
      <c r="D7" s="92"/>
      <c r="E7" s="94">
        <f t="shared" si="0"/>
        <v>-1500</v>
      </c>
      <c r="F7" s="2" t="s">
        <v>48</v>
      </c>
      <c r="G7" s="91"/>
      <c r="H7" s="92"/>
      <c r="I7" s="94">
        <f t="shared" si="1"/>
        <v>0</v>
      </c>
      <c r="J7" s="2"/>
    </row>
    <row r="8" spans="1:14" ht="18" x14ac:dyDescent="0.25">
      <c r="A8" s="8">
        <v>4</v>
      </c>
      <c r="B8" s="20">
        <v>4</v>
      </c>
      <c r="C8" s="91">
        <f>Apartment4!D4</f>
        <v>1500</v>
      </c>
      <c r="D8" s="92"/>
      <c r="E8" s="94">
        <f t="shared" si="0"/>
        <v>-1500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3000</v>
      </c>
      <c r="D11" s="92"/>
      <c r="E11" s="94">
        <f t="shared" si="0"/>
        <v>-3000</v>
      </c>
      <c r="F11" s="2" t="s">
        <v>48</v>
      </c>
      <c r="G11" s="91"/>
      <c r="H11" s="92"/>
      <c r="I11" s="94">
        <f t="shared" si="1"/>
        <v>0</v>
      </c>
      <c r="J11" s="2"/>
    </row>
    <row r="12" spans="1:14" ht="18" x14ac:dyDescent="0.25">
      <c r="A12" s="8">
        <v>8</v>
      </c>
      <c r="B12" s="20">
        <v>8</v>
      </c>
      <c r="C12" s="91">
        <f>Apartment8!D4</f>
        <v>2700</v>
      </c>
      <c r="D12" s="92"/>
      <c r="E12" s="94">
        <f t="shared" si="0"/>
        <v>-2700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1425</v>
      </c>
      <c r="D17" s="92"/>
      <c r="E17" s="94">
        <f t="shared" si="0"/>
        <v>-1425</v>
      </c>
      <c r="F17" s="2" t="s">
        <v>56</v>
      </c>
      <c r="G17" s="91"/>
      <c r="H17" s="92"/>
      <c r="I17" s="94">
        <f t="shared" si="1"/>
        <v>0</v>
      </c>
      <c r="J17" s="2"/>
    </row>
    <row r="18" spans="1:10" ht="18" x14ac:dyDescent="0.25">
      <c r="A18" s="8">
        <v>14</v>
      </c>
      <c r="B18" s="20">
        <v>14</v>
      </c>
      <c r="C18" s="91">
        <f>Apartment14!D4</f>
        <v>1425</v>
      </c>
      <c r="D18" s="92"/>
      <c r="E18" s="94">
        <f t="shared" si="0"/>
        <v>-1425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J18" sqref="J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100" t="s">
        <v>21</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1425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v>150</v>
      </c>
      <c r="E11" s="8"/>
      <c r="F11" s="8">
        <v>150</v>
      </c>
      <c r="G11" s="8" t="s">
        <v>103</v>
      </c>
      <c r="H11" s="2"/>
      <c r="I11" s="2"/>
      <c r="J11" s="2"/>
      <c r="K11" s="2"/>
      <c r="L11" s="2"/>
      <c r="M11" s="2"/>
    </row>
    <row r="12" spans="1:17" ht="18" x14ac:dyDescent="0.25">
      <c r="A12" s="8">
        <v>7</v>
      </c>
      <c r="B12" s="8">
        <v>7</v>
      </c>
      <c r="C12" s="63">
        <v>46242</v>
      </c>
      <c r="D12" s="33">
        <v>150</v>
      </c>
      <c r="E12" s="8"/>
      <c r="F12" s="8">
        <v>150</v>
      </c>
      <c r="G12" s="8" t="s">
        <v>104</v>
      </c>
      <c r="H12" s="2"/>
      <c r="I12" s="2"/>
      <c r="J12" s="2"/>
      <c r="K12" s="2"/>
      <c r="L12" s="2"/>
      <c r="M12" s="2"/>
    </row>
    <row r="13" spans="1:17" ht="18" x14ac:dyDescent="0.25">
      <c r="A13" s="8">
        <v>8</v>
      </c>
      <c r="B13" s="8">
        <v>8</v>
      </c>
      <c r="C13" s="51">
        <v>46371</v>
      </c>
      <c r="D13" s="33">
        <v>150</v>
      </c>
      <c r="E13" s="8"/>
      <c r="F13" s="8">
        <v>150</v>
      </c>
      <c r="G13" s="8" t="s">
        <v>105</v>
      </c>
      <c r="H13" s="2"/>
      <c r="I13" s="2"/>
      <c r="J13" s="2"/>
      <c r="K13" s="2"/>
      <c r="L13" s="2"/>
      <c r="M13" s="2"/>
    </row>
    <row r="14" spans="1:17" ht="18" x14ac:dyDescent="0.25">
      <c r="A14" s="8">
        <v>9</v>
      </c>
      <c r="B14" s="8">
        <v>9</v>
      </c>
      <c r="C14" s="51">
        <v>46371</v>
      </c>
      <c r="D14" s="33">
        <v>150</v>
      </c>
      <c r="E14" s="8"/>
      <c r="F14" s="8">
        <v>150</v>
      </c>
      <c r="G14" s="8" t="s">
        <v>106</v>
      </c>
      <c r="H14" s="2"/>
      <c r="I14" s="2"/>
      <c r="J14" s="2"/>
      <c r="K14" s="2"/>
      <c r="L14" s="2"/>
      <c r="M14" s="2"/>
    </row>
    <row r="15" spans="1:17" ht="18" x14ac:dyDescent="0.25">
      <c r="A15" s="8">
        <v>10</v>
      </c>
      <c r="B15" s="8">
        <v>10</v>
      </c>
      <c r="C15" s="51">
        <v>46371</v>
      </c>
      <c r="D15" s="33">
        <v>150</v>
      </c>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100" t="s">
        <v>20</v>
      </c>
      <c r="D2" s="100"/>
      <c r="E2" s="100"/>
      <c r="F2" s="100"/>
      <c r="G2" s="100"/>
      <c r="H2" s="100"/>
      <c r="I2" s="100"/>
      <c r="J2" s="100"/>
      <c r="K2" s="100"/>
      <c r="L2" s="100"/>
      <c r="M2" s="100"/>
      <c r="N2" s="100"/>
      <c r="O2" s="100"/>
      <c r="P2" s="100"/>
      <c r="Q2" s="100"/>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10" sqref="D10:D15"/>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100" t="s">
        <v>114</v>
      </c>
      <c r="D2" s="100"/>
      <c r="E2" s="100"/>
      <c r="F2" s="100"/>
      <c r="G2" s="100"/>
      <c r="H2" s="100"/>
      <c r="I2" s="100"/>
      <c r="J2" s="100"/>
      <c r="K2" s="100"/>
      <c r="L2" s="100"/>
      <c r="M2" s="100"/>
      <c r="N2" s="100"/>
      <c r="O2" s="100"/>
      <c r="P2" s="100"/>
      <c r="Q2" s="100"/>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1425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v>150</v>
      </c>
      <c r="E11" s="8"/>
      <c r="F11" s="8">
        <v>150</v>
      </c>
      <c r="G11" s="8" t="s">
        <v>103</v>
      </c>
      <c r="H11" s="2"/>
      <c r="I11" s="2"/>
      <c r="J11" s="2"/>
      <c r="K11" s="2"/>
      <c r="L11" s="2"/>
      <c r="M11" s="2"/>
    </row>
    <row r="12" spans="1:17" ht="18" x14ac:dyDescent="0.25">
      <c r="A12" s="8">
        <v>7</v>
      </c>
      <c r="B12" s="8">
        <v>7</v>
      </c>
      <c r="C12" s="51">
        <v>46242</v>
      </c>
      <c r="D12" s="33">
        <v>150</v>
      </c>
      <c r="E12" s="8"/>
      <c r="F12" s="8">
        <v>150</v>
      </c>
      <c r="G12" s="8" t="s">
        <v>104</v>
      </c>
      <c r="H12" s="2"/>
      <c r="I12" s="2"/>
      <c r="J12" s="2"/>
      <c r="K12" s="2"/>
      <c r="L12" s="2"/>
      <c r="M12" s="2"/>
    </row>
    <row r="13" spans="1:17" ht="18" x14ac:dyDescent="0.25">
      <c r="A13" s="8">
        <v>8</v>
      </c>
      <c r="B13" s="8">
        <v>8</v>
      </c>
      <c r="C13" s="51">
        <v>46371</v>
      </c>
      <c r="D13" s="33">
        <v>150</v>
      </c>
      <c r="E13" s="8"/>
      <c r="F13" s="8">
        <v>150</v>
      </c>
      <c r="G13" s="8" t="s">
        <v>105</v>
      </c>
      <c r="H13" s="2"/>
      <c r="I13" s="2"/>
      <c r="J13" s="2"/>
      <c r="K13" s="2"/>
      <c r="L13" s="2"/>
      <c r="M13" s="2"/>
    </row>
    <row r="14" spans="1:17" ht="18" x14ac:dyDescent="0.25">
      <c r="A14" s="8">
        <v>9</v>
      </c>
      <c r="B14" s="8">
        <v>9</v>
      </c>
      <c r="C14" s="51">
        <v>46371</v>
      </c>
      <c r="D14" s="33">
        <v>150</v>
      </c>
      <c r="E14" s="8"/>
      <c r="F14" s="8">
        <v>150</v>
      </c>
      <c r="G14" s="8" t="s">
        <v>106</v>
      </c>
      <c r="H14" s="2"/>
      <c r="I14" s="2"/>
      <c r="J14" s="2"/>
      <c r="K14" s="2"/>
      <c r="L14" s="2"/>
      <c r="M14" s="2"/>
    </row>
    <row r="15" spans="1:17" ht="18" x14ac:dyDescent="0.25">
      <c r="A15" s="8">
        <v>10</v>
      </c>
      <c r="B15" s="8">
        <v>10</v>
      </c>
      <c r="C15" s="51">
        <v>46371</v>
      </c>
      <c r="D15" s="33">
        <v>150</v>
      </c>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5" t="s">
        <v>118</v>
      </c>
      <c r="J20" s="105"/>
      <c r="K20" s="105"/>
      <c r="L20" s="105"/>
      <c r="M20" s="105"/>
      <c r="N20" s="105"/>
    </row>
    <row r="21" spans="1:17" ht="23.25" x14ac:dyDescent="0.35">
      <c r="A21" s="8"/>
      <c r="B21" s="8"/>
      <c r="C21" s="51"/>
      <c r="D21" s="33"/>
      <c r="E21" s="8"/>
      <c r="F21" s="8"/>
      <c r="G21" s="8"/>
      <c r="H21" s="2"/>
      <c r="I21" s="105" t="s">
        <v>238</v>
      </c>
      <c r="J21" s="105"/>
      <c r="K21" s="105"/>
      <c r="L21" s="105"/>
      <c r="M21" s="105"/>
      <c r="N21" s="105"/>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6"/>
      <c r="K23" s="106"/>
      <c r="L23" s="106"/>
      <c r="M23" s="106"/>
      <c r="N23" s="106"/>
      <c r="O23" s="106"/>
      <c r="P23" s="106"/>
    </row>
    <row r="24" spans="1:17" ht="18" x14ac:dyDescent="0.25">
      <c r="A24" s="8"/>
      <c r="B24" s="8"/>
      <c r="C24" s="51"/>
      <c r="D24" s="33"/>
      <c r="E24" s="8"/>
      <c r="F24" s="8"/>
      <c r="G24" s="8">
        <v>1</v>
      </c>
      <c r="H24" s="8"/>
      <c r="I24" s="8"/>
      <c r="J24" s="106"/>
      <c r="K24" s="106"/>
      <c r="L24" s="106"/>
      <c r="M24" s="106"/>
      <c r="N24" s="106"/>
      <c r="O24" s="106"/>
      <c r="P24" s="106"/>
    </row>
    <row r="25" spans="1:17" ht="36" customHeight="1" x14ac:dyDescent="0.25">
      <c r="A25" s="8"/>
      <c r="B25" s="8"/>
      <c r="C25" s="51"/>
      <c r="D25" s="33"/>
      <c r="E25" s="8"/>
      <c r="F25" s="8"/>
      <c r="G25" s="48">
        <v>2</v>
      </c>
      <c r="H25" s="48"/>
      <c r="I25" s="48"/>
      <c r="J25" s="106"/>
      <c r="K25" s="106"/>
      <c r="L25" s="106"/>
      <c r="M25" s="106"/>
      <c r="N25" s="106"/>
      <c r="O25" s="106"/>
      <c r="P25" s="106"/>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22</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100" t="s">
        <v>23</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zoomScaleNormal="100" workbookViewId="0">
      <selection activeCell="F9" sqref="F9"/>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100" t="s">
        <v>24</v>
      </c>
      <c r="D2" s="100"/>
      <c r="E2" s="100"/>
      <c r="F2" s="100"/>
      <c r="G2" s="100"/>
      <c r="H2" s="100"/>
      <c r="I2" s="100"/>
      <c r="J2" s="100"/>
      <c r="K2" s="100"/>
      <c r="L2" s="100"/>
      <c r="M2" s="100"/>
      <c r="N2" s="100"/>
      <c r="O2" s="100"/>
      <c r="P2" s="100"/>
      <c r="Q2" s="100"/>
    </row>
    <row r="3" spans="1:22" ht="56.25" x14ac:dyDescent="0.4">
      <c r="C3" s="57"/>
      <c r="D3" s="18" t="s">
        <v>8</v>
      </c>
      <c r="E3" s="18"/>
      <c r="F3" s="18" t="s">
        <v>18</v>
      </c>
      <c r="G3" s="1"/>
      <c r="H3" s="1"/>
      <c r="I3" s="1"/>
      <c r="J3" s="1"/>
      <c r="K3" s="1"/>
      <c r="L3" s="1"/>
      <c r="M3" s="1"/>
      <c r="N3" s="1"/>
      <c r="O3" s="101" t="s">
        <v>97</v>
      </c>
      <c r="P3" s="101"/>
      <c r="Q3" s="101"/>
      <c r="R3" s="101"/>
      <c r="S3" s="101"/>
      <c r="T3" s="101"/>
      <c r="U3" s="101"/>
      <c r="V3" s="101"/>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7" t="s">
        <v>77</v>
      </c>
      <c r="S5" s="108"/>
      <c r="T5" s="108"/>
      <c r="U5" s="109"/>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10"/>
      <c r="S12" s="111"/>
      <c r="T12" s="111"/>
      <c r="U12" s="112"/>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15" sqref="D15"/>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100" t="s">
        <v>115</v>
      </c>
      <c r="D2" s="100"/>
      <c r="E2" s="100"/>
      <c r="F2" s="100"/>
      <c r="G2" s="100"/>
      <c r="H2" s="100"/>
      <c r="I2" s="100"/>
      <c r="J2" s="100"/>
      <c r="K2" s="100"/>
      <c r="L2" s="100"/>
      <c r="M2" s="100"/>
      <c r="N2" s="100"/>
      <c r="O2" s="100"/>
      <c r="P2" s="100"/>
      <c r="Q2" s="100"/>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2700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98">
        <v>46270</v>
      </c>
      <c r="D12" s="33">
        <v>300</v>
      </c>
      <c r="E12" s="8"/>
      <c r="F12" s="33">
        <v>300</v>
      </c>
      <c r="G12" s="8" t="s">
        <v>228</v>
      </c>
      <c r="H12" s="2"/>
      <c r="I12" s="2"/>
      <c r="J12" s="2"/>
      <c r="K12" s="2"/>
      <c r="L12" s="2"/>
      <c r="M12" s="2"/>
    </row>
    <row r="13" spans="1:17" ht="18" x14ac:dyDescent="0.25">
      <c r="A13" s="8">
        <v>8</v>
      </c>
      <c r="B13" s="8">
        <v>8</v>
      </c>
      <c r="C13" s="98">
        <v>46270</v>
      </c>
      <c r="D13" s="33">
        <v>300</v>
      </c>
      <c r="E13" s="8"/>
      <c r="F13" s="33">
        <v>300</v>
      </c>
      <c r="G13" s="8" t="s">
        <v>105</v>
      </c>
      <c r="H13" s="2"/>
      <c r="I13" s="2"/>
      <c r="J13" s="2"/>
      <c r="K13" s="2"/>
      <c r="L13" s="2"/>
      <c r="M13" s="2"/>
    </row>
    <row r="14" spans="1:17" ht="18" x14ac:dyDescent="0.25">
      <c r="A14" s="8">
        <v>9</v>
      </c>
      <c r="B14" s="8">
        <v>9</v>
      </c>
      <c r="C14" s="77">
        <v>46289</v>
      </c>
      <c r="D14" s="33">
        <v>300</v>
      </c>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9" sqref="E19"/>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100" t="s">
        <v>25</v>
      </c>
      <c r="D2" s="100"/>
      <c r="E2" s="100"/>
      <c r="F2" s="100"/>
      <c r="G2" s="100"/>
      <c r="H2" s="100"/>
      <c r="I2" s="100"/>
      <c r="J2" s="100"/>
      <c r="K2" s="100"/>
      <c r="L2" s="100"/>
      <c r="M2" s="100"/>
      <c r="N2" s="100"/>
      <c r="O2" s="100"/>
      <c r="P2" s="100"/>
      <c r="Q2" s="100"/>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3000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v>300</v>
      </c>
      <c r="E14" s="8"/>
      <c r="F14" s="33">
        <v>300</v>
      </c>
      <c r="G14" s="8" t="s">
        <v>173</v>
      </c>
      <c r="H14" s="2"/>
      <c r="I14" s="2"/>
      <c r="J14" s="2"/>
      <c r="K14" s="2"/>
      <c r="L14" s="2"/>
      <c r="M14" s="2"/>
    </row>
    <row r="15" spans="1:17" ht="18" x14ac:dyDescent="0.25">
      <c r="A15" s="8">
        <v>10</v>
      </c>
      <c r="B15" s="33">
        <v>10</v>
      </c>
      <c r="C15" s="99">
        <v>46317</v>
      </c>
      <c r="D15" s="33">
        <v>300</v>
      </c>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26</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J21" sqref="J21"/>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100" t="s">
        <v>116</v>
      </c>
      <c r="D2" s="100"/>
      <c r="E2" s="100"/>
      <c r="F2" s="100"/>
      <c r="G2" s="100"/>
      <c r="H2" s="100"/>
      <c r="I2" s="100"/>
      <c r="J2" s="100"/>
      <c r="K2" s="100"/>
      <c r="L2" s="100"/>
      <c r="M2" s="100"/>
      <c r="N2" s="100"/>
      <c r="O2" s="100"/>
      <c r="P2" s="100"/>
      <c r="Q2" s="100"/>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4" sqref="D14:D15"/>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28</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1500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9">
        <v>46317</v>
      </c>
      <c r="D15" s="8">
        <v>150</v>
      </c>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4" sqref="D14:D15"/>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100" t="s">
        <v>27</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1500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9">
        <v>46317</v>
      </c>
      <c r="D15" s="8">
        <v>150</v>
      </c>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M12" sqref="M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100" t="s">
        <v>29</v>
      </c>
      <c r="D2" s="100"/>
      <c r="E2" s="100"/>
      <c r="F2" s="100"/>
      <c r="G2" s="100"/>
      <c r="H2" s="100"/>
      <c r="I2" s="100"/>
      <c r="J2" s="100"/>
      <c r="K2" s="100"/>
      <c r="L2" s="100"/>
      <c r="M2" s="100"/>
      <c r="N2" s="100"/>
      <c r="O2" s="100"/>
      <c r="P2" s="100"/>
      <c r="Q2" s="100"/>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1425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v>150</v>
      </c>
      <c r="E14" s="8"/>
      <c r="F14" s="33">
        <v>150</v>
      </c>
      <c r="G14" s="8" t="s">
        <v>233</v>
      </c>
      <c r="H14" s="2"/>
      <c r="I14" s="2"/>
      <c r="J14" s="2"/>
      <c r="K14" s="2"/>
      <c r="L14" s="2"/>
      <c r="M14" s="2"/>
    </row>
    <row r="15" spans="1:17" ht="18" x14ac:dyDescent="0.25">
      <c r="A15" s="33">
        <v>10</v>
      </c>
      <c r="B15" s="33">
        <v>10</v>
      </c>
      <c r="C15" s="77">
        <v>46299</v>
      </c>
      <c r="D15" s="8">
        <v>150</v>
      </c>
      <c r="E15" s="8"/>
      <c r="F15" s="33">
        <v>150</v>
      </c>
      <c r="G15" s="8" t="s">
        <v>234</v>
      </c>
      <c r="H15" s="2"/>
      <c r="I15" s="2"/>
      <c r="J15" s="2"/>
      <c r="K15" s="2"/>
      <c r="L15" s="2"/>
      <c r="M15" s="2"/>
    </row>
    <row r="16" spans="1:17" ht="18" x14ac:dyDescent="0.25">
      <c r="A16" s="33">
        <v>11</v>
      </c>
      <c r="B16" s="33">
        <v>11</v>
      </c>
      <c r="C16" s="77">
        <v>46350</v>
      </c>
      <c r="D16" s="8">
        <v>150</v>
      </c>
      <c r="E16" s="8"/>
      <c r="F16" s="33">
        <v>150</v>
      </c>
      <c r="G16" s="8" t="s">
        <v>235</v>
      </c>
      <c r="H16" s="2"/>
      <c r="I16" s="2"/>
      <c r="J16" s="2"/>
      <c r="K16" s="2"/>
      <c r="L16" s="2"/>
      <c r="M16" s="2"/>
    </row>
    <row r="17" spans="1:13" ht="18" x14ac:dyDescent="0.25">
      <c r="A17" s="33">
        <v>12</v>
      </c>
      <c r="B17" s="33">
        <v>12</v>
      </c>
      <c r="C17" s="77">
        <v>46350</v>
      </c>
      <c r="D17" s="8">
        <v>150</v>
      </c>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8" workbookViewId="0">
      <selection activeCell="G21" sqref="G21"/>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16</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1350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98">
        <v>46321</v>
      </c>
      <c r="D13" s="73">
        <v>150</v>
      </c>
      <c r="E13" s="8"/>
      <c r="F13" s="73">
        <v>150</v>
      </c>
      <c r="G13" s="8" t="s">
        <v>232</v>
      </c>
      <c r="H13" s="2"/>
      <c r="I13" s="2"/>
      <c r="J13" s="2"/>
      <c r="K13" s="2"/>
      <c r="L13" s="2"/>
      <c r="M13" s="2"/>
    </row>
    <row r="14" spans="1:17" ht="18" x14ac:dyDescent="0.25">
      <c r="A14" s="8">
        <v>9</v>
      </c>
      <c r="B14" s="73">
        <v>9</v>
      </c>
      <c r="C14" s="98">
        <v>46321</v>
      </c>
      <c r="D14" s="73">
        <v>150</v>
      </c>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B83" workbookViewId="0">
      <selection activeCell="D97" sqref="D97"/>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21531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v>46266</v>
      </c>
      <c r="C75" s="55">
        <v>300</v>
      </c>
      <c r="E75" s="8" t="s">
        <v>48</v>
      </c>
      <c r="F75" s="8">
        <v>7</v>
      </c>
      <c r="G75" s="8" t="s">
        <v>233</v>
      </c>
    </row>
    <row r="76" spans="1:7" ht="18" x14ac:dyDescent="0.25">
      <c r="A76" s="8">
        <v>72</v>
      </c>
      <c r="B76" s="51">
        <v>46266</v>
      </c>
      <c r="C76" s="55">
        <v>150</v>
      </c>
      <c r="D76" s="8"/>
      <c r="E76" s="8" t="s">
        <v>244</v>
      </c>
      <c r="F76" s="8">
        <v>4</v>
      </c>
      <c r="G76" s="8" t="s">
        <v>233</v>
      </c>
    </row>
    <row r="77" spans="1:7" ht="18" x14ac:dyDescent="0.25">
      <c r="A77" s="8">
        <v>73</v>
      </c>
      <c r="B77" s="51">
        <v>46266</v>
      </c>
      <c r="C77" s="55">
        <v>150</v>
      </c>
      <c r="D77" s="8"/>
      <c r="E77" s="8" t="s">
        <v>141</v>
      </c>
      <c r="F77" s="8">
        <v>3</v>
      </c>
      <c r="G77" s="8" t="s">
        <v>233</v>
      </c>
    </row>
    <row r="78" spans="1:7" ht="18" x14ac:dyDescent="0.25">
      <c r="A78" s="8">
        <v>74</v>
      </c>
      <c r="B78" s="51">
        <v>46268</v>
      </c>
      <c r="C78" s="55">
        <v>600</v>
      </c>
      <c r="E78" s="8" t="s">
        <v>160</v>
      </c>
      <c r="F78" s="8">
        <v>2</v>
      </c>
      <c r="G78" s="8" t="s">
        <v>312</v>
      </c>
    </row>
    <row r="79" spans="1:7" ht="18" x14ac:dyDescent="0.25">
      <c r="A79" s="8">
        <v>75</v>
      </c>
      <c r="B79" s="51">
        <v>46270</v>
      </c>
      <c r="C79" s="55">
        <v>600</v>
      </c>
      <c r="D79" s="8"/>
      <c r="E79" s="8" t="s">
        <v>249</v>
      </c>
      <c r="F79" s="8">
        <v>8</v>
      </c>
      <c r="G79" s="8" t="s">
        <v>313</v>
      </c>
    </row>
    <row r="80" spans="1:7" ht="18" x14ac:dyDescent="0.25">
      <c r="A80" s="8">
        <v>76</v>
      </c>
      <c r="B80" s="51">
        <v>46289</v>
      </c>
      <c r="C80" s="55">
        <v>300</v>
      </c>
      <c r="D80" s="8"/>
      <c r="E80" s="8" t="s">
        <v>249</v>
      </c>
      <c r="F80" s="8">
        <v>8</v>
      </c>
      <c r="G80" s="8" t="s">
        <v>233</v>
      </c>
    </row>
    <row r="81" spans="1:7" ht="18" x14ac:dyDescent="0.25">
      <c r="A81" s="8">
        <v>77</v>
      </c>
      <c r="B81" s="51">
        <v>46287</v>
      </c>
      <c r="C81" s="55">
        <v>58</v>
      </c>
      <c r="D81" s="8"/>
      <c r="E81" s="8" t="s">
        <v>260</v>
      </c>
      <c r="F81" s="8"/>
      <c r="G81" s="8" t="s">
        <v>318</v>
      </c>
    </row>
    <row r="82" spans="1:7" ht="18" x14ac:dyDescent="0.25">
      <c r="A82" s="8">
        <v>78</v>
      </c>
      <c r="B82" s="51">
        <v>46317</v>
      </c>
      <c r="C82" s="55">
        <v>58</v>
      </c>
      <c r="D82" s="8"/>
      <c r="E82" s="8" t="s">
        <v>260</v>
      </c>
      <c r="F82" s="8"/>
      <c r="G82" s="8" t="s">
        <v>319</v>
      </c>
    </row>
    <row r="83" spans="1:7" ht="18" x14ac:dyDescent="0.25">
      <c r="A83" s="8">
        <v>79</v>
      </c>
      <c r="B83" s="51">
        <v>46317</v>
      </c>
      <c r="C83" s="55">
        <v>240</v>
      </c>
      <c r="E83" s="8" t="s">
        <v>260</v>
      </c>
      <c r="F83" s="8"/>
      <c r="G83" s="8" t="s">
        <v>320</v>
      </c>
    </row>
    <row r="84" spans="1:7" ht="18" x14ac:dyDescent="0.25">
      <c r="A84" s="8">
        <v>80</v>
      </c>
      <c r="B84" s="51">
        <v>46317</v>
      </c>
      <c r="C84" s="55">
        <v>300</v>
      </c>
      <c r="E84" s="8" t="s">
        <v>48</v>
      </c>
      <c r="F84" s="8">
        <v>7</v>
      </c>
      <c r="G84" s="8" t="s">
        <v>234</v>
      </c>
    </row>
    <row r="85" spans="1:7" ht="18" x14ac:dyDescent="0.25">
      <c r="A85" s="8">
        <v>81</v>
      </c>
      <c r="B85" s="51">
        <v>46317</v>
      </c>
      <c r="C85" s="55">
        <v>150</v>
      </c>
      <c r="D85" s="8"/>
      <c r="E85" s="8" t="s">
        <v>244</v>
      </c>
      <c r="F85" s="8">
        <v>4</v>
      </c>
      <c r="G85" s="8" t="s">
        <v>234</v>
      </c>
    </row>
    <row r="86" spans="1:7" ht="18" x14ac:dyDescent="0.25">
      <c r="A86" s="8">
        <v>82</v>
      </c>
      <c r="B86" s="51">
        <v>46317</v>
      </c>
      <c r="C86" s="55">
        <v>150</v>
      </c>
      <c r="D86" s="8"/>
      <c r="E86" s="8" t="s">
        <v>141</v>
      </c>
      <c r="F86" s="8">
        <v>3</v>
      </c>
      <c r="G86" s="8" t="s">
        <v>234</v>
      </c>
    </row>
    <row r="87" spans="1:7" ht="18" x14ac:dyDescent="0.25">
      <c r="A87" s="8">
        <v>83</v>
      </c>
      <c r="B87" s="51">
        <v>46321</v>
      </c>
      <c r="C87" s="55">
        <v>300</v>
      </c>
      <c r="D87" s="8"/>
      <c r="E87" s="8" t="s">
        <v>186</v>
      </c>
      <c r="F87" s="8">
        <v>1</v>
      </c>
      <c r="G87" s="8" t="s">
        <v>321</v>
      </c>
    </row>
    <row r="88" spans="1:7" ht="18" x14ac:dyDescent="0.25">
      <c r="A88" s="8">
        <v>84</v>
      </c>
      <c r="B88" s="51">
        <v>46321</v>
      </c>
      <c r="C88" s="55">
        <v>1500</v>
      </c>
      <c r="E88" s="8" t="s">
        <v>266</v>
      </c>
      <c r="F88" s="8" t="s">
        <v>267</v>
      </c>
      <c r="G88" s="8" t="s">
        <v>322</v>
      </c>
    </row>
    <row r="89" spans="1:7" ht="18" x14ac:dyDescent="0.25">
      <c r="A89" s="8">
        <v>85</v>
      </c>
      <c r="B89" s="51"/>
      <c r="C89" s="55"/>
      <c r="G89" s="8"/>
    </row>
    <row r="90" spans="1:7" ht="18" x14ac:dyDescent="0.25">
      <c r="A90" s="8">
        <v>86</v>
      </c>
      <c r="B90" s="51"/>
      <c r="C90" s="55"/>
      <c r="G90" s="8"/>
    </row>
    <row r="91" spans="1:7" ht="18" x14ac:dyDescent="0.25">
      <c r="A91" s="8">
        <v>87</v>
      </c>
      <c r="B91" s="51"/>
      <c r="C91" s="55"/>
      <c r="G91" s="8"/>
    </row>
    <row r="92" spans="1:7" ht="18" x14ac:dyDescent="0.25">
      <c r="A92" s="8">
        <v>88</v>
      </c>
      <c r="B92" s="51"/>
      <c r="C92" s="55"/>
      <c r="G92" s="8"/>
    </row>
    <row r="93" spans="1:7" ht="18" x14ac:dyDescent="0.25">
      <c r="A93" s="8">
        <v>89</v>
      </c>
      <c r="B93" s="51"/>
      <c r="C93" s="55"/>
      <c r="G93" s="8"/>
    </row>
    <row r="94" spans="1:7" ht="18" x14ac:dyDescent="0.25">
      <c r="A94" s="8">
        <v>90</v>
      </c>
      <c r="B94" s="51"/>
      <c r="C94" s="55"/>
      <c r="G94" s="8"/>
    </row>
    <row r="95" spans="1:7" ht="18" x14ac:dyDescent="0.25">
      <c r="B95" s="51"/>
      <c r="C95" s="55"/>
      <c r="G95" s="8"/>
    </row>
    <row r="96" spans="1:7" ht="18" x14ac:dyDescent="0.25">
      <c r="B96" s="51"/>
      <c r="C96" s="55"/>
      <c r="G96" s="8"/>
    </row>
    <row r="97" spans="2:7" ht="18" x14ac:dyDescent="0.25">
      <c r="B97" s="51"/>
      <c r="C97" s="55"/>
      <c r="G97" s="8"/>
    </row>
    <row r="98" spans="2:7" ht="18" x14ac:dyDescent="0.25">
      <c r="C98" s="55"/>
      <c r="G98" s="8"/>
    </row>
    <row r="99" spans="2:7" ht="18" x14ac:dyDescent="0.25">
      <c r="C99" s="55"/>
      <c r="G99" s="8"/>
    </row>
    <row r="100" spans="2:7" ht="18" x14ac:dyDescent="0.25">
      <c r="C100" s="55"/>
      <c r="G100" s="8"/>
    </row>
    <row r="101" spans="2:7" ht="18" x14ac:dyDescent="0.25">
      <c r="G101" s="8"/>
    </row>
    <row r="102" spans="2:7" ht="18" x14ac:dyDescent="0.25">
      <c r="G102" s="8"/>
    </row>
    <row r="103" spans="2:7" ht="18" x14ac:dyDescent="0.25">
      <c r="G103" s="8"/>
    </row>
    <row r="104" spans="2:7" ht="18" x14ac:dyDescent="0.25">
      <c r="G104" s="8"/>
    </row>
    <row r="105" spans="2: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100" t="s">
        <v>13</v>
      </c>
      <c r="C2" s="100"/>
      <c r="D2" s="100"/>
      <c r="E2" s="100"/>
      <c r="F2" s="100"/>
      <c r="G2" s="100"/>
      <c r="H2" s="100"/>
      <c r="I2" s="100"/>
      <c r="J2" s="100"/>
      <c r="K2" s="100"/>
      <c r="L2" s="100"/>
      <c r="M2" s="100"/>
      <c r="N2" s="100"/>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21531</v>
      </c>
      <c r="D5" s="71">
        <f>outcomes!C3</f>
        <v>23691</v>
      </c>
      <c r="E5" s="72">
        <f>(C3+C5)-D5</f>
        <v>11742</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39" workbookViewId="0">
      <selection activeCell="B56" sqref="B56"/>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100" t="s">
        <v>10</v>
      </c>
      <c r="C2" s="100"/>
      <c r="D2" s="100"/>
      <c r="E2" s="100"/>
      <c r="F2" s="100"/>
      <c r="G2" s="100"/>
      <c r="H2" s="100"/>
      <c r="I2" s="100"/>
      <c r="J2" s="100"/>
      <c r="K2" s="100"/>
      <c r="L2" s="100"/>
      <c r="M2" s="100"/>
      <c r="N2" s="100"/>
    </row>
    <row r="3" spans="1:19" ht="18" x14ac:dyDescent="0.25">
      <c r="B3" s="58" t="s">
        <v>12</v>
      </c>
      <c r="C3" s="53">
        <f>SUM(C5:C2002)</f>
        <v>23691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v>46262</v>
      </c>
      <c r="C43" s="55">
        <v>400</v>
      </c>
      <c r="D43" s="8" t="s">
        <v>310</v>
      </c>
    </row>
    <row r="44" spans="1:20" ht="18" x14ac:dyDescent="0.25">
      <c r="A44" s="33">
        <v>40</v>
      </c>
      <c r="B44" s="60">
        <v>46264</v>
      </c>
      <c r="C44" s="55">
        <v>243</v>
      </c>
      <c r="D44" s="8" t="s">
        <v>311</v>
      </c>
    </row>
    <row r="45" spans="1:20" ht="18" x14ac:dyDescent="0.25">
      <c r="A45" s="33">
        <v>41</v>
      </c>
      <c r="B45" s="60">
        <v>46264</v>
      </c>
      <c r="C45" s="55">
        <v>2</v>
      </c>
      <c r="D45" s="8" t="s">
        <v>275</v>
      </c>
    </row>
    <row r="46" spans="1:20" ht="18" x14ac:dyDescent="0.25">
      <c r="A46" s="33">
        <v>42</v>
      </c>
      <c r="B46" s="60">
        <v>46270</v>
      </c>
      <c r="C46" s="55">
        <v>50</v>
      </c>
      <c r="D46" s="8" t="s">
        <v>252</v>
      </c>
    </row>
    <row r="47" spans="1:20" ht="18" x14ac:dyDescent="0.25">
      <c r="A47" s="33">
        <v>43</v>
      </c>
      <c r="B47" s="60">
        <v>46282</v>
      </c>
      <c r="C47" s="55">
        <v>298</v>
      </c>
      <c r="D47" s="8" t="s">
        <v>314</v>
      </c>
    </row>
    <row r="48" spans="1:20" ht="18" x14ac:dyDescent="0.25">
      <c r="A48" s="33">
        <v>44</v>
      </c>
      <c r="B48" s="60">
        <v>46282</v>
      </c>
      <c r="C48" s="55">
        <v>2</v>
      </c>
      <c r="D48" s="8" t="s">
        <v>275</v>
      </c>
    </row>
    <row r="49" spans="1:4" ht="18" x14ac:dyDescent="0.25">
      <c r="A49" s="33">
        <v>45</v>
      </c>
      <c r="B49" s="60">
        <v>46282</v>
      </c>
      <c r="C49" s="55">
        <v>1030</v>
      </c>
      <c r="D49" s="8" t="s">
        <v>315</v>
      </c>
    </row>
    <row r="50" spans="1:4" ht="18" x14ac:dyDescent="0.25">
      <c r="A50" s="33">
        <v>46</v>
      </c>
      <c r="B50" s="60">
        <v>46282</v>
      </c>
      <c r="C50" s="55">
        <v>20</v>
      </c>
      <c r="D50" s="8" t="s">
        <v>316</v>
      </c>
    </row>
    <row r="51" spans="1:4" ht="18" x14ac:dyDescent="0.25">
      <c r="A51" s="33">
        <v>47</v>
      </c>
      <c r="B51" s="60">
        <v>46297</v>
      </c>
      <c r="C51" s="55">
        <v>400</v>
      </c>
      <c r="D51" s="8" t="s">
        <v>317</v>
      </c>
    </row>
    <row r="52" spans="1:4" ht="18" x14ac:dyDescent="0.25">
      <c r="A52" s="33">
        <v>48</v>
      </c>
      <c r="B52" s="60">
        <v>46316</v>
      </c>
      <c r="C52" s="55">
        <v>875</v>
      </c>
      <c r="D52" s="8" t="s">
        <v>315</v>
      </c>
    </row>
    <row r="53" spans="1:4" ht="18" x14ac:dyDescent="0.25">
      <c r="A53" s="33">
        <v>49</v>
      </c>
      <c r="B53" s="60">
        <v>46203</v>
      </c>
      <c r="C53" s="55">
        <v>400</v>
      </c>
      <c r="D53" s="8" t="s">
        <v>323</v>
      </c>
    </row>
    <row r="54" spans="1:4" ht="18" x14ac:dyDescent="0.25">
      <c r="A54" s="33">
        <v>50</v>
      </c>
      <c r="B54" s="60">
        <v>46203</v>
      </c>
      <c r="C54" s="55">
        <v>50</v>
      </c>
      <c r="D54" s="8" t="s">
        <v>277</v>
      </c>
    </row>
    <row r="55" spans="1:4" ht="18" x14ac:dyDescent="0.25">
      <c r="A55" s="33">
        <v>51</v>
      </c>
      <c r="B55" s="60">
        <v>46324</v>
      </c>
      <c r="C55" s="55">
        <v>320</v>
      </c>
      <c r="D55" s="8" t="s">
        <v>324</v>
      </c>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2026-10-31T12:14:19Z</dcterms:modified>
</cp:coreProperties>
</file>
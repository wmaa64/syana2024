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B0E0217F-CCF4-472F-A986-3E6888766298}" xr6:coauthVersionLast="47" xr6:coauthVersionMax="47" xr10:uidLastSave="{00000000-0000-0000-0000-000000000000}"/>
  <bookViews>
    <workbookView xWindow="-120" yWindow="-120" windowWidth="20730" windowHeight="11160" tabRatio="947" firstSheet="11" activeTab="19"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<sst xmlns="http://schemas.openxmlformats.org/spreadsheetml/2006/main" count="740" uniqueCount="258">
  <si>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</si>
  <si>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</si>
  <si>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</si>
  <si>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</si>
  <si>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</si>
  <si>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</si>
  <si>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</si>
  <si>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</si>
  <si>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</si>
  <si>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</si>
  <si>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</si>
  <si>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</si>
  <si>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</si>
  <si>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</si>
  <si>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</si>
  <si>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</si>
  <si>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</si>
  <si>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</si>
  <si>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</si>
  <si>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</si>
  <si>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</si>
  <si>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</si>
  <si>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</si>
  <si>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</si>
  <si>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</si>
  <si>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</si>
  <si>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</si>
  <si>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</si>
  <si>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</si>
  <si>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</si>
  <si>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</si>
  <si>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</si>
  <si>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</si>
  <si>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</si>
  <si>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</si>
  <si>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</si>
  <si>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</si>
  <si>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</si>
  <si>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</si>
  <si>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</si>
  <si>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</si>
  <si>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</si>
  <si>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</si>
  <si>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</si>
  <si>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</si>
  <si>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</si>
  <si>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</si>
  <si>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</si>
  <si>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</si>
  <si>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</si>
  <si>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</si>
  <si>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</si>
  <si>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</si>
  <si>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</si>
  <si>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</si>
  <si>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</si>
  <si>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</si>
  <si>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</si>
  <si>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</si>
  <si>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</si>
  <si>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</si>
  <si>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</si>
  <si>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</si>
  <si>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</si>
  <si>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</si>
  <si>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</si>
  <si>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</si>
  <si>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</si>
  <si>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</si>
  <si>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</si>
  <si>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</si>
  <si>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</si>
  <si>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</si>
  <si>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</si>
  <si>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</si>
  <si>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</si>
  <si>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</si>
  <si>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</si>
  <si>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</si>
  <si>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</si>
  <si>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</si>
  <si>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</si>
  <si>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</si>
  <si>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</si>
  <si>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</si>
  <si>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</si>
  <si>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</si>
  <si>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</si>
  <si>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</si>
  <si>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</si>
  <si>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</si>
  <si>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</si>
  <si>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</si>
  <si>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</si>
  <si>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</si>
  <si>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</si>
  <si>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</si>
  <si>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</si>
  <si>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</si>
  <si>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</si>
  <si>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</si>
  <si>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</si>
  <si>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</si>
  <si>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</si>
  <si>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</si>
  <si>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</si>
  <si>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</si>
  <si>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</si>
  <si>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</si>
  <si>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</si>
  <si>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</si>
  <si>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</si>
  <si>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</si>
  <si>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</si>
  <si>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</si>
  <si>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</si>
  <si>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</si>
  <si>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</si>
  <si>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</si>
  <si>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</si>
  <si>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</si>
  <si>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</si>
  <si>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</si>
  <si>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</si>
  <si>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</si>
  <si>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</si>
  <si>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</si>
  <si>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</si>
  <si>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</si>
  <si>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</si>
  <si>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</si>
  <si>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</si>
  <si>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</si>
  <si>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</si>
  <si>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</si>
  <si>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</si>
  <si>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</si>
  <si>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</si>
  <si>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</si>
  <si>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</si>
  <si>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</si>
  <si>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</si>
  <si>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</si>
  <si>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</si>
  <si>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</si>
  <si>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</si>
  <si>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</si>
  <si>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</si>
  <si>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</si>
  <si>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</si>
  <si>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</si>
  <si>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</si>
  <si>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</si>
  <si>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</si>
  <si>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</si>
  <si>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</si>
  <si>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</si>
  <si>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</si>
  <si>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</si>
  <si>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</si>
  <si>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</si>
  <si>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</si>
  <si>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</si>
  <si>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</si>
  <si>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</si>
  <si>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</si>
  <si>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</si>
  <si>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</si>
  <si>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</si>
  <si>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</si>
  <si>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</si>
  <si>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</si>
  <si>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</si>
  <si>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</si>
  <si>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</si>
  <si>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</si>
  <si>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</si>
  <si>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</si>
  <si>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</si>
  <si>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</si>
  <si>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</si>
  <si>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</si>
  <si>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</si>
  <si>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</si>
  <si>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</si>
  <si>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</si>
  <si>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</si>
  <si>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</si>
  <si>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</si>
  <si>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</si>
  <si>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</si>
  <si>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</si>
  <si>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</si>
  <si>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</si>
  <si>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</si>
  <si>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</si>
  <si>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</si>
  <si>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</si>
  <si>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</si>
  <si>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</si>
  <si>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</si>
  <si>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</si>
  <si>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</si>
  <si>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</si>
  <si>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</si>
  <si>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</si>
  <si>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</si>
  <si>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</si>
  <si>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</si>
  <si>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</si>
  <si>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</si>
  <si>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</si>
  <si>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</si>
  <si>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</si>
  <si>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</si>
  <si>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</si>
  <si>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</si>
  <si>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</si>
  <si>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</si>
  <si>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</si>
  <si>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</si>
  <si>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</si>
  <si>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</si>
  <si>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</si>
  <si>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</si>
  <si>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</si>
  <si>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</si>
  <si>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</si>
  <si>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</si>
  <si>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</si>
  <si>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</si>
  <si>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</si>
  <si>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</si>
  <si>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</si>
  <si>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</si>
  <si>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</si>
  <si>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</si>
  <si>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</si>
  <si>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</si>
  <si>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</si>
  <si>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</si>
  <si>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</si>
  <si>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</si>
  <si>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</si>
  <si>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</si>
  <si>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</si>
  <si>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</si>
  <si>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</si>
  <si>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</si>
  <si>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</si>
  <si>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</si>
  <si>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</si>
  <si>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</si>
  <si>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فاتورة المياه عن شهر يناير /2025</t>
  </si>
  <si>
    <t>تحت حساب فاتورة المياه عن شهر فبراير /2025</t>
  </si>
  <si>
    <t>تحت حساب كهرباء شهر فبراير /2026</t>
  </si>
  <si>
    <t>تحت حساب اكرامية للمحصل</t>
  </si>
  <si>
    <t>تحت حساب كهربة خلفية المنزل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</si>
</sst>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T7" sqref="T7"/>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0</v>
      </c>
      <c r="F6" s="26">
        <f>Apartment4!D6</f>
        <v>0</v>
      </c>
      <c r="G6" s="26">
        <f>Apartment5!D6</f>
        <v>0</v>
      </c>
      <c r="H6" s="26">
        <f>Apartment6!D6</f>
        <v>300</v>
      </c>
      <c r="I6" s="26">
        <f>Apartment7!D6</f>
        <v>0</v>
      </c>
      <c r="J6" s="26">
        <f>Apartment8!D6</f>
        <v>0</v>
      </c>
      <c r="K6" s="26">
        <f>Apartment9!D6</f>
        <v>0</v>
      </c>
      <c r="L6" s="26">
        <f>Apartment10!D6</f>
        <v>150</v>
      </c>
      <c r="M6" s="26">
        <f>Apartment11!D6</f>
        <v>0</v>
      </c>
      <c r="N6" s="26">
        <f>Apartment12!D6</f>
        <v>250</v>
      </c>
      <c r="O6" s="26">
        <f>Apartment13!D6</f>
        <v>0</v>
      </c>
      <c r="P6" s="26">
        <f>Apartment14!D6</f>
        <v>0</v>
      </c>
    </row>
    <row r="7" spans="1:20" ht="23.25" x14ac:dyDescent="0.35">
      <c r="A7" s="8"/>
      <c r="B7" s="25">
        <v>2</v>
      </c>
      <c r="C7" s="26">
        <f>Apartment1!D7</f>
        <v>150</v>
      </c>
      <c r="D7" s="26">
        <f>Apartment2!D7</f>
        <v>75</v>
      </c>
      <c r="E7" s="26">
        <f>Apartment3!D7</f>
        <v>0</v>
      </c>
      <c r="F7" s="26">
        <f>Apartment4!D7</f>
        <v>0</v>
      </c>
      <c r="G7" s="26">
        <f>Apartment5!D7</f>
        <v>0</v>
      </c>
      <c r="H7" s="26">
        <f>Apartment6!D7</f>
        <v>300</v>
      </c>
      <c r="I7" s="26">
        <f>Apartment7!D7</f>
        <v>0</v>
      </c>
      <c r="J7" s="26">
        <f>Apartment8!D7</f>
        <v>0</v>
      </c>
      <c r="K7" s="26">
        <f>Apartment9!D7</f>
        <v>0</v>
      </c>
      <c r="L7" s="26">
        <f>Apartment10!D7</f>
        <v>150</v>
      </c>
      <c r="M7" s="26">
        <f>Apartment11!D7</f>
        <v>0</v>
      </c>
      <c r="N7" s="26">
        <f>Apartment12!D7</f>
        <v>250</v>
      </c>
      <c r="O7" s="26">
        <f>Apartment13!D7</f>
        <v>0</v>
      </c>
      <c r="P7" s="26">
        <f>Apartment14!D7</f>
        <v>0</v>
      </c>
    </row>
    <row r="8" spans="1:20" ht="23.25" x14ac:dyDescent="0.35">
      <c r="A8" s="8"/>
      <c r="B8" s="25">
        <v>3</v>
      </c>
      <c r="C8" s="26">
        <f>Apartment1!D8</f>
        <v>0</v>
      </c>
      <c r="D8" s="26">
        <f>Apartment2!D8</f>
        <v>0</v>
      </c>
      <c r="E8" s="26">
        <f>Apartment3!D8</f>
        <v>0</v>
      </c>
      <c r="F8" s="26">
        <f>Apartment4!D8</f>
        <v>0</v>
      </c>
      <c r="G8" s="26">
        <f>Apartment5!D8</f>
        <v>0</v>
      </c>
      <c r="H8" s="26">
        <f>Apartment6!D8</f>
        <v>300</v>
      </c>
      <c r="I8" s="26">
        <f>Apartment7!D8</f>
        <v>0</v>
      </c>
      <c r="J8" s="26">
        <f>Apartment8!D8</f>
        <v>0</v>
      </c>
      <c r="K8" s="26">
        <f>Apartment9!D8</f>
        <v>0</v>
      </c>
      <c r="L8" s="26">
        <f>Apartment10!D8</f>
        <v>150</v>
      </c>
      <c r="M8" s="26">
        <f>Apartment11!D8</f>
        <v>0</v>
      </c>
      <c r="N8" s="26">
        <f>Apartment12!D8</f>
        <v>0</v>
      </c>
      <c r="O8" s="26">
        <f>Apartment13!D8</f>
        <v>0</v>
      </c>
      <c r="P8" s="26">
        <f>Apartment14!D8</f>
        <v>0</v>
      </c>
    </row>
    <row r="9" spans="1:20" ht="23.25" x14ac:dyDescent="0.35">
      <c r="A9" s="8"/>
      <c r="B9" s="25">
        <v>4</v>
      </c>
      <c r="C9" s="26">
        <f>Apartment1!D9</f>
        <v>0</v>
      </c>
      <c r="D9" s="26">
        <f>Apartment2!D9</f>
        <v>0</v>
      </c>
      <c r="E9" s="26">
        <f>Apartment3!D9</f>
        <v>0</v>
      </c>
      <c r="F9" s="26">
        <f>Apartment4!D9</f>
        <v>0</v>
      </c>
      <c r="G9" s="26">
        <f>Apartment5!D9</f>
        <v>0</v>
      </c>
      <c r="H9" s="26">
        <f>Apartment6!D9</f>
        <v>300</v>
      </c>
      <c r="I9" s="26">
        <f>Apartment7!D9</f>
        <v>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300</v>
      </c>
      <c r="D5" s="92"/>
      <c r="E5" s="94">
        <f>D5-C5</f>
        <v>-300</v>
      </c>
      <c r="F5" s="2" t="s">
        <v>50</v>
      </c>
      <c r="G5" s="91"/>
      <c r="H5" s="92"/>
      <c r="I5" s="94">
        <f>H5-G5</f>
        <v>0</v>
      </c>
      <c r="J5" s="2"/>
    </row>
    <row r="6" spans="1:14" ht="18" x14ac:dyDescent="0.25">
      <c r="A6" s="8">
        <v>2</v>
      </c>
      <c r="B6" s="20">
        <v>2</v>
      </c>
      <c r="C6" s="91">
        <f>Apartment2!D4</f>
        <v>150</v>
      </c>
      <c r="D6" s="92"/>
      <c r="E6" s="94">
        <f t="shared" ref="E6:E18" si="0">D6-C6</f>
        <v>-150</v>
      </c>
      <c r="F6" s="2" t="s">
        <v>51</v>
      </c>
      <c r="G6" s="91"/>
      <c r="H6" s="92"/>
      <c r="I6" s="94">
        <f t="shared" ref="I6:I18" si="1">H6-G6</f>
        <v>0</v>
      </c>
      <c r="J6" s="2"/>
    </row>
    <row r="7" spans="1:14" ht="18" x14ac:dyDescent="0.25">
      <c r="A7" s="8">
        <v>3</v>
      </c>
      <c r="B7" s="20">
        <v>3</v>
      </c>
      <c r="C7" s="91">
        <f>Apartment3!D4</f>
        <v>0</v>
      </c>
      <c r="D7" s="92"/>
      <c r="E7" s="94">
        <f t="shared" si="0"/>
        <v>0</v>
      </c>
      <c r="F7" s="2" t="s">
        <v>48</v>
      </c>
      <c r="G7" s="91"/>
      <c r="H7" s="92"/>
      <c r="I7" s="94">
        <f t="shared" si="1"/>
        <v>0</v>
      </c>
      <c r="J7" s="2"/>
    </row>
    <row r="8" spans="1:14" ht="18" x14ac:dyDescent="0.25">
      <c r="A8" s="8">
        <v>4</v>
      </c>
      <c r="B8" s="20">
        <v>4</v>
      </c>
      <c r="C8" s="91">
        <f>Apartment4!D4</f>
        <v>0</v>
      </c>
      <c r="D8" s="92"/>
      <c r="E8" s="94">
        <f t="shared" si="0"/>
        <v>0</v>
      </c>
      <c r="F8" s="2" t="s">
        <v>48</v>
      </c>
      <c r="G8" s="91"/>
      <c r="H8" s="92"/>
      <c r="I8" s="94">
        <f t="shared" si="1"/>
        <v>0</v>
      </c>
      <c r="J8" s="2"/>
    </row>
    <row r="9" spans="1:14" ht="18" x14ac:dyDescent="0.25">
      <c r="A9" s="8">
        <v>5</v>
      </c>
      <c r="B9" s="20">
        <v>5</v>
      </c>
      <c r="C9" s="91">
        <f>Apartment5!D4</f>
        <v>0</v>
      </c>
      <c r="D9" s="92"/>
      <c r="E9" s="94">
        <f t="shared" si="0"/>
        <v>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0</v>
      </c>
      <c r="D11" s="92"/>
      <c r="E11" s="94">
        <f t="shared" si="0"/>
        <v>0</v>
      </c>
      <c r="F11" s="2" t="s">
        <v>48</v>
      </c>
      <c r="G11" s="91"/>
      <c r="H11" s="92"/>
      <c r="I11" s="94">
        <f t="shared" si="1"/>
        <v>0</v>
      </c>
      <c r="J11" s="2"/>
    </row>
    <row r="12" spans="1:14" ht="18" x14ac:dyDescent="0.25">
      <c r="A12" s="8">
        <v>8</v>
      </c>
      <c r="B12" s="20">
        <v>8</v>
      </c>
      <c r="C12" s="91">
        <f>Apartment8!D4</f>
        <v>0</v>
      </c>
      <c r="D12" s="92"/>
      <c r="E12" s="94">
        <f t="shared" si="0"/>
        <v>0</v>
      </c>
      <c r="F12" s="2" t="s">
        <v>120</v>
      </c>
      <c r="G12" s="91"/>
      <c r="H12" s="92"/>
      <c r="I12" s="94">
        <f t="shared" si="1"/>
        <v>0</v>
      </c>
      <c r="J12" s="2"/>
    </row>
    <row r="13" spans="1:14" ht="18" x14ac:dyDescent="0.25">
      <c r="A13" s="8">
        <v>9</v>
      </c>
      <c r="B13" s="20">
        <v>9</v>
      </c>
      <c r="C13" s="91">
        <f>Apartment9!D4</f>
        <v>0</v>
      </c>
      <c r="D13" s="92"/>
      <c r="E13" s="94">
        <f t="shared" si="0"/>
        <v>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0</v>
      </c>
      <c r="D15" s="92"/>
      <c r="E15" s="94">
        <f t="shared" si="0"/>
        <v>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0</v>
      </c>
      <c r="D17" s="92"/>
      <c r="E17" s="94">
        <f t="shared" si="0"/>
        <v>0</v>
      </c>
      <c r="F17" s="2" t="s">
        <v>56</v>
      </c>
      <c r="G17" s="91"/>
      <c r="H17" s="92"/>
      <c r="I17" s="94">
        <f t="shared" si="1"/>
        <v>0</v>
      </c>
      <c r="J17" s="2"/>
    </row>
    <row r="18" spans="1:10" ht="18" x14ac:dyDescent="0.25">
      <c r="A18" s="8">
        <v>14</v>
      </c>
      <c r="B18" s="20">
        <v>14</v>
      </c>
      <c r="C18" s="91">
        <f>Apartment14!D4</f>
        <v>0</v>
      </c>
      <c r="D18" s="92"/>
      <c r="E18" s="94">
        <f t="shared" si="0"/>
        <v>0</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1500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c r="E6" s="8"/>
      <c r="F6" s="8">
        <v>125</v>
      </c>
      <c r="G6" s="8" t="s">
        <v>237</v>
      </c>
      <c r="H6" s="2"/>
      <c r="I6" s="2"/>
      <c r="J6" s="2"/>
      <c r="K6" s="2"/>
      <c r="L6" s="2"/>
      <c r="M6" s="2"/>
    </row>
    <row r="7" spans="1:17" ht="18" x14ac:dyDescent="0.25">
      <c r="A7" s="8">
        <v>2</v>
      </c>
      <c r="B7" s="8">
        <v>2</v>
      </c>
      <c r="C7" s="63">
        <v>46134</v>
      </c>
      <c r="D7" s="33"/>
      <c r="E7" s="8"/>
      <c r="F7" s="8">
        <v>125</v>
      </c>
      <c r="G7" s="8" t="s">
        <v>113</v>
      </c>
      <c r="H7" s="2"/>
      <c r="I7" s="2"/>
      <c r="J7" s="2"/>
      <c r="K7" s="2"/>
      <c r="L7" s="2"/>
      <c r="M7" s="2"/>
    </row>
    <row r="8" spans="1:17" ht="18" x14ac:dyDescent="0.25">
      <c r="A8" s="8">
        <v>3</v>
      </c>
      <c r="B8" s="8">
        <v>3</v>
      </c>
      <c r="C8" s="63">
        <v>46242</v>
      </c>
      <c r="D8" s="33"/>
      <c r="E8" s="8"/>
      <c r="F8" s="8">
        <v>125</v>
      </c>
      <c r="G8" s="8" t="s">
        <v>100</v>
      </c>
      <c r="H8" s="2"/>
      <c r="I8" s="2"/>
      <c r="J8" s="2"/>
      <c r="K8" s="2"/>
      <c r="L8" s="2"/>
      <c r="M8" s="2"/>
    </row>
    <row r="9" spans="1:17" ht="18" x14ac:dyDescent="0.25">
      <c r="A9" s="8">
        <v>4</v>
      </c>
      <c r="B9" s="8">
        <v>4</v>
      </c>
      <c r="C9" s="63">
        <v>46242</v>
      </c>
      <c r="D9" s="33"/>
      <c r="E9" s="8"/>
      <c r="F9" s="8">
        <v>125</v>
      </c>
      <c r="G9" s="8" t="s">
        <v>101</v>
      </c>
      <c r="H9" s="2"/>
      <c r="I9" s="2"/>
      <c r="J9" s="2"/>
      <c r="K9" s="2"/>
      <c r="L9" s="2"/>
      <c r="M9" s="2"/>
    </row>
    <row r="10" spans="1:17" ht="18" x14ac:dyDescent="0.25">
      <c r="A10" s="8">
        <v>5</v>
      </c>
      <c r="B10" s="8">
        <v>5</v>
      </c>
      <c r="C10" s="63">
        <v>46242</v>
      </c>
      <c r="D10" s="33"/>
      <c r="E10" s="8"/>
      <c r="F10" s="8">
        <v>125</v>
      </c>
      <c r="G10" s="8" t="s">
        <v>102</v>
      </c>
      <c r="H10" s="2"/>
      <c r="I10" s="2"/>
      <c r="J10" s="2"/>
      <c r="K10" s="2"/>
      <c r="L10" s="2"/>
      <c r="M10" s="2"/>
    </row>
    <row r="11" spans="1:17" ht="18" x14ac:dyDescent="0.25">
      <c r="A11" s="8">
        <v>6</v>
      </c>
      <c r="B11" s="8">
        <v>6</v>
      </c>
      <c r="C11" s="63">
        <v>46242</v>
      </c>
      <c r="D11" s="33"/>
      <c r="E11" s="8"/>
      <c r="F11" s="8">
        <v>125</v>
      </c>
      <c r="G11" s="8" t="s">
        <v>103</v>
      </c>
      <c r="H11" s="2"/>
      <c r="I11" s="2"/>
      <c r="J11" s="2"/>
      <c r="K11" s="2"/>
      <c r="L11" s="2"/>
      <c r="M11" s="2"/>
    </row>
    <row r="12" spans="1:17" ht="18" x14ac:dyDescent="0.25">
      <c r="A12" s="8">
        <v>7</v>
      </c>
      <c r="B12" s="8">
        <v>7</v>
      </c>
      <c r="C12" s="63">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3" ht="18" x14ac:dyDescent="0.25">
      <c r="A17" s="8">
        <v>12</v>
      </c>
      <c r="B17" s="8">
        <v>12</v>
      </c>
      <c r="C17" s="51">
        <v>46371</v>
      </c>
      <c r="D17" s="33"/>
      <c r="E17" s="8"/>
      <c r="F17" s="8">
        <v>125</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8" sqref="C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11">
        <f>SUM(F6:F2001)</f>
        <v>1500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c r="E6" s="8"/>
      <c r="F6" s="8">
        <v>125</v>
      </c>
      <c r="G6" s="8" t="s">
        <v>112</v>
      </c>
      <c r="H6" s="2"/>
      <c r="I6" s="2"/>
      <c r="J6" s="2"/>
      <c r="K6" s="2"/>
      <c r="L6" s="2"/>
      <c r="M6" s="2"/>
    </row>
    <row r="7" spans="1:17" ht="18" x14ac:dyDescent="0.25">
      <c r="A7" s="8">
        <v>2</v>
      </c>
      <c r="B7" s="8">
        <v>2</v>
      </c>
      <c r="C7" s="51">
        <v>46134</v>
      </c>
      <c r="D7" s="33"/>
      <c r="E7" s="8"/>
      <c r="F7" s="8">
        <v>125</v>
      </c>
      <c r="G7" s="8" t="s">
        <v>113</v>
      </c>
      <c r="H7" s="2"/>
      <c r="I7" s="2"/>
      <c r="J7" s="2"/>
      <c r="K7" s="2"/>
      <c r="L7" s="2"/>
      <c r="M7" s="2"/>
    </row>
    <row r="8" spans="1:17" ht="18" x14ac:dyDescent="0.25">
      <c r="A8" s="8">
        <v>3</v>
      </c>
      <c r="B8" s="8">
        <v>3</v>
      </c>
      <c r="C8" s="51">
        <v>46242</v>
      </c>
      <c r="D8" s="33"/>
      <c r="E8" s="8"/>
      <c r="F8" s="8">
        <v>125</v>
      </c>
      <c r="G8" s="8" t="s">
        <v>100</v>
      </c>
      <c r="H8" s="2"/>
      <c r="I8" s="2"/>
      <c r="J8" s="2"/>
      <c r="K8" s="2"/>
      <c r="L8" s="2"/>
      <c r="M8" s="2"/>
    </row>
    <row r="9" spans="1:17" ht="18" x14ac:dyDescent="0.25">
      <c r="A9" s="8">
        <v>4</v>
      </c>
      <c r="B9" s="8">
        <v>4</v>
      </c>
      <c r="C9" s="51">
        <v>46242</v>
      </c>
      <c r="D9" s="33"/>
      <c r="E9" s="8"/>
      <c r="F9" s="8">
        <v>125</v>
      </c>
      <c r="G9" s="8" t="s">
        <v>101</v>
      </c>
      <c r="H9" s="2"/>
      <c r="I9" s="2"/>
      <c r="J9" s="2"/>
      <c r="K9" s="2"/>
      <c r="L9" s="2"/>
      <c r="M9" s="2"/>
    </row>
    <row r="10" spans="1:17" ht="18" x14ac:dyDescent="0.25">
      <c r="A10" s="8">
        <v>5</v>
      </c>
      <c r="B10" s="8">
        <v>5</v>
      </c>
      <c r="C10" s="51">
        <v>46242</v>
      </c>
      <c r="D10" s="33"/>
      <c r="E10" s="8"/>
      <c r="F10" s="8">
        <v>125</v>
      </c>
      <c r="G10" s="8" t="s">
        <v>102</v>
      </c>
      <c r="H10" s="2"/>
      <c r="I10" s="2"/>
      <c r="J10" s="2"/>
      <c r="K10" s="2"/>
      <c r="L10" s="2"/>
      <c r="M10" s="2"/>
    </row>
    <row r="11" spans="1:17" ht="18" x14ac:dyDescent="0.25">
      <c r="A11" s="8">
        <v>6</v>
      </c>
      <c r="B11" s="8">
        <v>6</v>
      </c>
      <c r="C11" s="51">
        <v>46242</v>
      </c>
      <c r="D11" s="33"/>
      <c r="E11" s="8"/>
      <c r="F11" s="8">
        <v>125</v>
      </c>
      <c r="G11" s="8" t="s">
        <v>103</v>
      </c>
      <c r="H11" s="2"/>
      <c r="I11" s="2"/>
      <c r="J11" s="2"/>
      <c r="K11" s="2"/>
      <c r="L11" s="2"/>
      <c r="M11" s="2"/>
    </row>
    <row r="12" spans="1:17" ht="18" x14ac:dyDescent="0.25">
      <c r="A12" s="8">
        <v>7</v>
      </c>
      <c r="B12" s="8">
        <v>7</v>
      </c>
      <c r="C12" s="51">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7" ht="18" x14ac:dyDescent="0.25">
      <c r="A17" s="8">
        <v>12</v>
      </c>
      <c r="B17" s="8">
        <v>12</v>
      </c>
      <c r="C17" s="51">
        <v>46371</v>
      </c>
      <c r="D17" s="33"/>
      <c r="E17" s="8"/>
      <c r="F17" s="8">
        <v>125</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A3"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46372</v>
      </c>
      <c r="D6" s="90"/>
      <c r="E6" s="8"/>
      <c r="F6" s="8">
        <v>150</v>
      </c>
      <c r="G6" s="8" t="s">
        <v>239</v>
      </c>
      <c r="H6" s="2"/>
      <c r="I6" s="2"/>
      <c r="J6" s="2"/>
      <c r="K6" s="2"/>
      <c r="L6" s="2"/>
      <c r="M6" s="2"/>
    </row>
    <row r="7" spans="1:17" ht="18" x14ac:dyDescent="0.25">
      <c r="A7" s="8">
        <v>2</v>
      </c>
      <c r="B7" s="8">
        <v>2</v>
      </c>
      <c r="C7" s="9">
        <v>46372</v>
      </c>
      <c r="D7" s="90"/>
      <c r="E7" s="8"/>
      <c r="F7" s="8">
        <v>150</v>
      </c>
      <c r="G7" s="8" t="s">
        <v>240</v>
      </c>
      <c r="H7" s="2"/>
      <c r="I7" s="2"/>
      <c r="J7" s="2"/>
      <c r="K7" s="2"/>
      <c r="L7" s="2"/>
      <c r="M7" s="2"/>
    </row>
    <row r="8" spans="1:17" ht="18" x14ac:dyDescent="0.25">
      <c r="A8" s="8">
        <v>3</v>
      </c>
      <c r="B8" s="8">
        <v>3</v>
      </c>
      <c r="C8" s="9">
        <v>46372</v>
      </c>
      <c r="D8" s="90"/>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A3" workbookViewId="0">
      <selection activeCell="D6" sqref="D6:D17"/>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46195</v>
      </c>
      <c r="D6" s="55"/>
      <c r="E6" s="8"/>
      <c r="F6" s="8">
        <v>150</v>
      </c>
      <c r="G6" s="8" t="s">
        <v>208</v>
      </c>
      <c r="H6" s="2"/>
      <c r="I6" s="2"/>
      <c r="J6" s="2"/>
      <c r="K6" s="2"/>
      <c r="L6" s="2"/>
      <c r="M6" s="2"/>
      <c r="O6" s="2"/>
      <c r="P6" s="8">
        <v>1</v>
      </c>
      <c r="Q6" s="8"/>
      <c r="R6" s="2"/>
      <c r="S6" s="2"/>
    </row>
    <row r="7" spans="1:22" ht="18" x14ac:dyDescent="0.25">
      <c r="A7" s="8">
        <v>2</v>
      </c>
      <c r="B7" s="8">
        <v>2</v>
      </c>
      <c r="C7" s="51">
        <v>46195</v>
      </c>
      <c r="D7" s="55"/>
      <c r="E7" s="8"/>
      <c r="F7" s="8">
        <v>150</v>
      </c>
      <c r="G7" s="8" t="s">
        <v>209</v>
      </c>
      <c r="H7" s="2"/>
      <c r="I7" s="2"/>
      <c r="J7" s="2"/>
      <c r="K7" s="2"/>
      <c r="L7" s="2"/>
      <c r="M7" s="2"/>
      <c r="O7" s="2"/>
      <c r="P7" s="8">
        <v>2</v>
      </c>
      <c r="Q7" s="8"/>
      <c r="R7" s="2"/>
      <c r="S7" s="2"/>
    </row>
    <row r="8" spans="1:22" ht="18" x14ac:dyDescent="0.25">
      <c r="A8" s="8">
        <v>3</v>
      </c>
      <c r="B8" s="8">
        <v>3</v>
      </c>
      <c r="C8" s="51">
        <v>46195</v>
      </c>
      <c r="D8" s="55"/>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c r="E6" s="8"/>
      <c r="F6" s="33">
        <v>300</v>
      </c>
      <c r="G6" s="8" t="s">
        <v>222</v>
      </c>
      <c r="H6" s="2"/>
      <c r="I6" s="2"/>
      <c r="J6" s="2"/>
      <c r="K6" s="2"/>
      <c r="L6" s="2"/>
      <c r="M6" s="2"/>
    </row>
    <row r="7" spans="1:17" ht="18" x14ac:dyDescent="0.25">
      <c r="A7" s="8">
        <v>2</v>
      </c>
      <c r="B7" s="8">
        <v>2</v>
      </c>
      <c r="C7" s="77">
        <v>46080</v>
      </c>
      <c r="D7" s="33"/>
      <c r="E7" s="8"/>
      <c r="F7" s="33">
        <v>300</v>
      </c>
      <c r="G7" s="8" t="s">
        <v>223</v>
      </c>
      <c r="H7" s="2"/>
      <c r="I7" s="2"/>
      <c r="J7" s="2"/>
      <c r="K7" s="2"/>
      <c r="L7" s="2"/>
      <c r="M7" s="2"/>
    </row>
    <row r="8" spans="1:17" ht="18" x14ac:dyDescent="0.25">
      <c r="A8" s="8">
        <v>3</v>
      </c>
      <c r="B8" s="8">
        <v>3</v>
      </c>
      <c r="C8" s="77">
        <v>46125</v>
      </c>
      <c r="D8" s="33"/>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c r="E6" s="8"/>
      <c r="F6" s="33">
        <v>300</v>
      </c>
      <c r="G6" s="8" t="s">
        <v>165</v>
      </c>
      <c r="H6" s="2"/>
      <c r="I6" s="2"/>
      <c r="J6" s="2"/>
      <c r="K6" s="2"/>
      <c r="L6" s="2"/>
      <c r="M6" s="2"/>
    </row>
    <row r="7" spans="1:17" ht="18" x14ac:dyDescent="0.25">
      <c r="A7" s="8">
        <v>2</v>
      </c>
      <c r="B7" s="33">
        <v>2</v>
      </c>
      <c r="C7" s="51">
        <v>45322</v>
      </c>
      <c r="D7" s="33"/>
      <c r="E7" s="8"/>
      <c r="F7" s="33">
        <v>300</v>
      </c>
      <c r="G7" s="8" t="s">
        <v>166</v>
      </c>
      <c r="H7" s="2"/>
      <c r="I7" s="2"/>
      <c r="J7" s="2"/>
      <c r="K7" s="2"/>
      <c r="L7" s="2"/>
      <c r="M7" s="2"/>
    </row>
    <row r="8" spans="1:17" ht="18" x14ac:dyDescent="0.25">
      <c r="A8" s="8">
        <v>3</v>
      </c>
      <c r="B8" s="33">
        <v>3</v>
      </c>
      <c r="C8" s="51">
        <v>46084</v>
      </c>
      <c r="D8" s="33"/>
      <c r="E8" s="8"/>
      <c r="F8" s="33">
        <v>300</v>
      </c>
      <c r="G8" s="8" t="s">
        <v>167</v>
      </c>
      <c r="H8" s="2"/>
      <c r="I8" s="2"/>
      <c r="J8" s="2"/>
      <c r="K8" s="2"/>
      <c r="L8" s="2"/>
      <c r="M8" s="2"/>
    </row>
    <row r="9" spans="1:17" ht="18" x14ac:dyDescent="0.25">
      <c r="A9" s="8">
        <v>4</v>
      </c>
      <c r="B9" s="33">
        <v>4</v>
      </c>
      <c r="C9" s="51">
        <v>45384</v>
      </c>
      <c r="D9" s="33"/>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D6" sqref="D6:D17"/>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c r="E6" s="8"/>
      <c r="F6" s="8">
        <v>300</v>
      </c>
      <c r="G6" s="8" t="s">
        <v>229</v>
      </c>
      <c r="H6" s="2"/>
      <c r="I6" s="2"/>
      <c r="J6" s="2"/>
      <c r="K6" s="2"/>
      <c r="L6" s="2"/>
      <c r="M6" s="2"/>
    </row>
    <row r="7" spans="1:17" ht="18" x14ac:dyDescent="0.25">
      <c r="A7" s="8">
        <v>2</v>
      </c>
      <c r="B7" s="8"/>
      <c r="C7" s="77">
        <v>46335</v>
      </c>
      <c r="D7" s="81"/>
      <c r="E7" s="8"/>
      <c r="F7" s="8">
        <v>300</v>
      </c>
      <c r="G7" s="8" t="s">
        <v>230</v>
      </c>
      <c r="H7" s="2"/>
      <c r="I7" s="2"/>
      <c r="J7" s="2"/>
      <c r="K7" s="2"/>
      <c r="L7" s="2"/>
      <c r="M7" s="2"/>
    </row>
    <row r="8" spans="1:17" ht="18" x14ac:dyDescent="0.25">
      <c r="A8" s="8">
        <v>3</v>
      </c>
      <c r="B8" s="8"/>
      <c r="C8" s="77">
        <v>46335</v>
      </c>
      <c r="D8" s="81"/>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6" sqref="D6:D17"/>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c r="E6" s="8"/>
      <c r="F6" s="8">
        <v>150</v>
      </c>
      <c r="G6" s="8" t="s">
        <v>110</v>
      </c>
      <c r="H6" s="2"/>
      <c r="I6" s="2"/>
      <c r="J6" s="2"/>
      <c r="K6" s="2"/>
      <c r="L6" s="2"/>
      <c r="M6" s="2"/>
    </row>
    <row r="7" spans="1:17" ht="18" x14ac:dyDescent="0.25">
      <c r="A7" s="8">
        <v>2</v>
      </c>
      <c r="B7" s="8">
        <v>2</v>
      </c>
      <c r="C7" s="9">
        <v>45322</v>
      </c>
      <c r="D7" s="8"/>
      <c r="E7" s="8"/>
      <c r="F7" s="8">
        <v>150</v>
      </c>
      <c r="G7" s="8" t="s">
        <v>111</v>
      </c>
      <c r="H7" s="2"/>
      <c r="I7" s="2"/>
      <c r="J7" s="2"/>
      <c r="K7" s="2"/>
      <c r="L7" s="2"/>
      <c r="M7" s="2"/>
    </row>
    <row r="8" spans="1:17" ht="18" x14ac:dyDescent="0.25">
      <c r="A8" s="8">
        <v>3</v>
      </c>
      <c r="B8" s="8">
        <v>3</v>
      </c>
      <c r="C8" s="63">
        <v>46084</v>
      </c>
      <c r="D8" s="8"/>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A5" workbookViewId="0">
      <selection activeCell="D6" sqref="D6:D17"/>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c r="E6" s="8"/>
      <c r="F6" s="8">
        <v>150</v>
      </c>
      <c r="G6" s="8" t="s">
        <v>110</v>
      </c>
      <c r="H6" s="2"/>
      <c r="I6" s="2"/>
      <c r="J6" s="2"/>
      <c r="K6" s="2"/>
      <c r="L6" s="2"/>
      <c r="M6" s="2"/>
    </row>
    <row r="7" spans="1:17" ht="18" x14ac:dyDescent="0.25">
      <c r="A7" s="8">
        <v>2</v>
      </c>
      <c r="B7" s="8">
        <v>2</v>
      </c>
      <c r="C7" s="63">
        <v>45322</v>
      </c>
      <c r="D7" s="8"/>
      <c r="E7" s="8"/>
      <c r="F7" s="8">
        <v>150</v>
      </c>
      <c r="G7" s="8" t="s">
        <v>111</v>
      </c>
      <c r="H7" s="2"/>
      <c r="I7" s="2"/>
      <c r="J7" s="2"/>
      <c r="K7" s="2"/>
      <c r="L7" s="2"/>
      <c r="M7" s="2"/>
    </row>
    <row r="8" spans="1:17" ht="18" x14ac:dyDescent="0.25">
      <c r="A8" s="8">
        <v>3</v>
      </c>
      <c r="B8" s="8">
        <v>3</v>
      </c>
      <c r="C8" s="63">
        <v>46084</v>
      </c>
      <c r="D8" s="8"/>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A4" workbookViewId="0">
      <selection activeCell="D6" sqref="D6:D7"/>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150</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c r="E8" s="8"/>
      <c r="F8" s="33">
        <v>75</v>
      </c>
      <c r="G8" s="8" t="s">
        <v>224</v>
      </c>
      <c r="H8" s="2"/>
      <c r="I8" s="2"/>
      <c r="J8" s="2"/>
      <c r="K8" s="2"/>
      <c r="L8" s="2"/>
      <c r="M8" s="2"/>
    </row>
    <row r="9" spans="1:17" ht="18" x14ac:dyDescent="0.25">
      <c r="A9" s="33">
        <v>4</v>
      </c>
      <c r="B9" s="33">
        <v>4</v>
      </c>
      <c r="C9" s="77">
        <v>46122</v>
      </c>
      <c r="D9" s="8"/>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abSelected="1" topLeftCell="B5" workbookViewId="0">
      <selection activeCell="D8" sqref="D8"/>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300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46087</v>
      </c>
      <c r="D8" s="73"/>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9" workbookViewId="0">
      <selection activeCell="G20" sqref="G20"/>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2450</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c r="C20" s="55"/>
      <c r="E20" s="8"/>
      <c r="F20" s="8"/>
      <c r="G20" s="8"/>
      <c r="H20" s="2"/>
      <c r="I20" s="2"/>
      <c r="J20" s="2"/>
      <c r="K20" s="2"/>
      <c r="L20" s="2"/>
      <c r="M20" s="2"/>
    </row>
    <row r="21" spans="1:13" ht="18" x14ac:dyDescent="0.25">
      <c r="A21" s="8">
        <v>16</v>
      </c>
      <c r="B21" s="51"/>
      <c r="C21" s="55"/>
      <c r="D21" s="8"/>
      <c r="E21" s="8"/>
      <c r="F21" s="8"/>
      <c r="G21" s="8"/>
      <c r="H21" s="2"/>
      <c r="I21" s="2"/>
      <c r="J21" s="2"/>
      <c r="K21" s="2"/>
      <c r="L21" s="2"/>
      <c r="M21" s="2"/>
    </row>
    <row r="22" spans="1:13" ht="18" x14ac:dyDescent="0.25">
      <c r="A22" s="8">
        <v>17</v>
      </c>
      <c r="B22" s="51"/>
      <c r="C22" s="55"/>
      <c r="E22" s="8"/>
      <c r="F22" s="8"/>
      <c r="G22" s="8"/>
      <c r="H22" s="2"/>
      <c r="I22" s="2"/>
      <c r="J22" s="2"/>
      <c r="K22" s="2"/>
      <c r="L22" s="2"/>
      <c r="M22" s="2"/>
    </row>
    <row r="23" spans="1:13" ht="18" x14ac:dyDescent="0.25">
      <c r="A23" s="8">
        <v>18</v>
      </c>
      <c r="B23" s="51"/>
      <c r="C23" s="55"/>
      <c r="D23" s="8"/>
      <c r="E23" s="8"/>
      <c r="F23" s="8"/>
      <c r="G23" s="8"/>
      <c r="H23" s="2"/>
      <c r="I23" s="2"/>
      <c r="J23" s="2"/>
      <c r="K23" s="2"/>
      <c r="L23" s="2"/>
      <c r="M23" s="2"/>
    </row>
    <row r="24" spans="1:13" ht="18" x14ac:dyDescent="0.25">
      <c r="A24" s="8">
        <v>19</v>
      </c>
      <c r="B24" s="51"/>
      <c r="C24" s="55"/>
      <c r="D24" s="8"/>
      <c r="E24" s="8"/>
      <c r="F24" s="8"/>
      <c r="G24" s="8"/>
      <c r="H24" s="2"/>
      <c r="I24" s="2"/>
      <c r="J24" s="2"/>
      <c r="K24" s="2"/>
      <c r="L24" s="2"/>
      <c r="M24" s="2"/>
    </row>
    <row r="25" spans="1:13" ht="18" x14ac:dyDescent="0.25">
      <c r="A25" s="8">
        <v>20</v>
      </c>
      <c r="B25" s="51"/>
      <c r="C25" s="55"/>
      <c r="D25" s="8"/>
      <c r="E25" s="8"/>
      <c r="F25" s="8"/>
      <c r="G25" s="8"/>
      <c r="H25" s="2"/>
      <c r="I25" s="2"/>
      <c r="J25" s="2"/>
      <c r="K25" s="2"/>
      <c r="L25" s="2"/>
      <c r="M25" s="2"/>
    </row>
    <row r="26" spans="1:13" ht="18" x14ac:dyDescent="0.25">
      <c r="A26" s="8">
        <v>21</v>
      </c>
      <c r="B26" s="51"/>
      <c r="C26" s="55"/>
      <c r="D26" s="8"/>
      <c r="E26" s="8"/>
      <c r="F26" s="8"/>
      <c r="G26" s="8"/>
      <c r="H26" s="2"/>
      <c r="I26" s="2"/>
      <c r="J26" s="2"/>
      <c r="K26" s="2"/>
      <c r="L26" s="2"/>
      <c r="M26" s="2"/>
    </row>
    <row r="27" spans="1:13" ht="18" x14ac:dyDescent="0.25">
      <c r="A27" s="8">
        <v>22</v>
      </c>
      <c r="B27" s="51"/>
      <c r="C27" s="55"/>
      <c r="E27" s="8"/>
      <c r="F27" s="8"/>
      <c r="G27" s="8"/>
      <c r="H27" s="2"/>
      <c r="I27" s="2"/>
      <c r="J27" s="2"/>
      <c r="K27" s="2"/>
      <c r="L27" s="2"/>
      <c r="M27" s="2"/>
    </row>
    <row r="28" spans="1:13" ht="18" x14ac:dyDescent="0.25">
      <c r="A28" s="8">
        <v>23</v>
      </c>
      <c r="B28" s="51"/>
      <c r="C28" s="55"/>
      <c r="D28" s="8"/>
      <c r="E28" s="8"/>
      <c r="F28" s="8"/>
      <c r="G28" s="8"/>
      <c r="H28" s="2"/>
      <c r="I28" s="2"/>
      <c r="J28" s="2"/>
      <c r="K28" s="2"/>
      <c r="L28" s="2"/>
      <c r="M28" s="2"/>
    </row>
    <row r="29" spans="1:13" ht="18" x14ac:dyDescent="0.25">
      <c r="A29" s="8">
        <v>24</v>
      </c>
      <c r="B29" s="51"/>
      <c r="C29" s="55"/>
      <c r="D29" s="8"/>
      <c r="E29" s="8"/>
      <c r="F29" s="8"/>
      <c r="G29" s="8"/>
      <c r="H29" s="2"/>
      <c r="I29" s="2"/>
      <c r="J29" s="2"/>
      <c r="K29" s="2"/>
      <c r="L29" s="2"/>
      <c r="M29" s="2"/>
    </row>
    <row r="30" spans="1:13" ht="18" x14ac:dyDescent="0.25">
      <c r="A30" s="8">
        <v>25</v>
      </c>
      <c r="B30" s="51"/>
      <c r="C30" s="55"/>
      <c r="D30" s="8"/>
      <c r="E30" s="8"/>
      <c r="F30" s="8"/>
      <c r="G30" s="8"/>
      <c r="H30" s="2"/>
      <c r="I30" s="2"/>
      <c r="J30" s="2"/>
      <c r="K30" s="2"/>
      <c r="L30" s="2"/>
      <c r="M30" s="2"/>
    </row>
    <row r="31" spans="1:13" ht="18" x14ac:dyDescent="0.25">
      <c r="A31" s="8">
        <v>26</v>
      </c>
      <c r="B31" s="51"/>
      <c r="C31" s="55"/>
      <c r="E31" s="8"/>
      <c r="F31" s="8"/>
      <c r="G31" s="8"/>
      <c r="H31" s="2"/>
      <c r="I31" s="2"/>
      <c r="J31" s="2"/>
      <c r="K31" s="2"/>
      <c r="L31" s="2"/>
      <c r="M31" s="2"/>
    </row>
    <row r="32" spans="1:13" ht="18" x14ac:dyDescent="0.25">
      <c r="A32" s="8">
        <v>27</v>
      </c>
      <c r="B32" s="51"/>
      <c r="C32" s="55"/>
      <c r="E32" s="8"/>
      <c r="F32" s="8"/>
      <c r="G32" s="8"/>
      <c r="H32" s="2"/>
      <c r="I32" s="2"/>
      <c r="J32" s="2"/>
      <c r="K32" s="2"/>
      <c r="L32" s="2"/>
      <c r="M32" s="2"/>
    </row>
    <row r="33" spans="1:13" ht="18" x14ac:dyDescent="0.25">
      <c r="A33" s="8">
        <v>28</v>
      </c>
      <c r="B33" s="51"/>
      <c r="C33" s="55"/>
      <c r="D33" s="8"/>
      <c r="E33" s="8"/>
      <c r="F33" s="8"/>
      <c r="G33" s="8"/>
      <c r="H33" s="2"/>
      <c r="I33" s="2"/>
      <c r="J33" s="2"/>
      <c r="K33" s="2"/>
      <c r="L33" s="2"/>
      <c r="M33" s="2"/>
    </row>
    <row r="34" spans="1:13" ht="18" x14ac:dyDescent="0.25">
      <c r="A34" s="8">
        <v>29</v>
      </c>
      <c r="B34" s="51"/>
      <c r="C34" s="55"/>
      <c r="D34" s="8"/>
      <c r="E34" s="8"/>
      <c r="F34" s="8"/>
      <c r="G34" s="8"/>
      <c r="H34" s="2"/>
      <c r="I34" s="2"/>
      <c r="J34" s="2"/>
      <c r="K34" s="2"/>
      <c r="L34" s="2"/>
      <c r="M34" s="2"/>
    </row>
    <row r="35" spans="1:13" ht="18" x14ac:dyDescent="0.25">
      <c r="A35" s="8">
        <v>30</v>
      </c>
      <c r="B35" s="51"/>
      <c r="C35" s="55"/>
      <c r="D35" s="8"/>
      <c r="E35" s="8"/>
      <c r="F35" s="8"/>
      <c r="G35" s="8"/>
    </row>
    <row r="36" spans="1:13" ht="18" x14ac:dyDescent="0.25">
      <c r="A36" s="8">
        <v>31</v>
      </c>
      <c r="B36" s="51"/>
      <c r="C36" s="55"/>
      <c r="D36" s="8"/>
      <c r="E36" s="8"/>
      <c r="F36" s="8"/>
      <c r="G36" s="8"/>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2450</v>
      </c>
      <c r="D5" s="71">
        <f>outcomes!C3</f>
        <v>5339</v>
      </c>
      <c r="E5" s="72">
        <f>(C3+C5)-D5</f>
        <v>11013</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workbookViewId="0">
      <selection activeCell="B16" sqref="B16"/>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5339</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253</v>
      </c>
      <c r="S12">
        <v>1</v>
      </c>
    </row>
    <row r="13" spans="1:19" ht="18" x14ac:dyDescent="0.25">
      <c r="A13" s="33">
        <v>9</v>
      </c>
      <c r="B13" s="60">
        <v>46067</v>
      </c>
      <c r="C13" s="55">
        <v>930</v>
      </c>
      <c r="D13" s="8" t="s">
        <v>254</v>
      </c>
      <c r="S13">
        <v>4</v>
      </c>
    </row>
    <row r="14" spans="1:19" ht="18" x14ac:dyDescent="0.25">
      <c r="A14" s="33">
        <v>10</v>
      </c>
      <c r="B14" s="60">
        <v>46075</v>
      </c>
      <c r="C14" s="55">
        <v>683</v>
      </c>
      <c r="D14" s="8" t="s">
        <v>255</v>
      </c>
      <c r="S14">
        <v>1</v>
      </c>
    </row>
    <row r="15" spans="1:19" ht="18" x14ac:dyDescent="0.25">
      <c r="A15" s="33">
        <v>11</v>
      </c>
      <c r="B15" s="60">
        <v>46075</v>
      </c>
      <c r="C15" s="55">
        <v>3</v>
      </c>
      <c r="D15" s="8" t="s">
        <v>256</v>
      </c>
      <c r="E15" s="2"/>
      <c r="F15" s="2"/>
      <c r="G15" s="2"/>
      <c r="H15" s="2"/>
      <c r="I15" s="2"/>
      <c r="J15" s="2"/>
      <c r="S15">
        <v>6</v>
      </c>
    </row>
    <row r="16" spans="1:19" ht="18" x14ac:dyDescent="0.25">
      <c r="A16" s="33">
        <v>12</v>
      </c>
      <c r="B16" s="60">
        <v>46075</v>
      </c>
      <c r="C16" s="55">
        <v>20</v>
      </c>
      <c r="D16" s="8" t="s">
        <v>257</v>
      </c>
      <c r="S16">
        <v>6</v>
      </c>
    </row>
    <row r="17" spans="1:19" ht="18" x14ac:dyDescent="0.25">
      <c r="A17" s="33">
        <v>13</v>
      </c>
      <c r="B17" s="60"/>
      <c r="C17" s="55"/>
      <c r="D17" s="8"/>
      <c r="E17" s="2"/>
      <c r="F17" s="2"/>
      <c r="G17" s="2"/>
      <c r="H17" s="2"/>
      <c r="I17" s="2"/>
      <c r="J17" s="2"/>
      <c r="S17">
        <v>1</v>
      </c>
    </row>
    <row r="18" spans="1:19" ht="18" x14ac:dyDescent="0.25">
      <c r="A18" s="33">
        <v>14</v>
      </c>
      <c r="B18" s="60"/>
      <c r="C18" s="55"/>
      <c r="D18" s="8"/>
      <c r="E18" s="2"/>
      <c r="F18" s="2"/>
      <c r="G18" s="2"/>
      <c r="H18" s="2"/>
      <c r="I18" s="2"/>
      <c r="J18" s="2"/>
      <c r="S18">
        <v>4</v>
      </c>
    </row>
    <row r="19" spans="1:19" ht="18" x14ac:dyDescent="0.25">
      <c r="A19" s="33">
        <v>15</v>
      </c>
      <c r="B19" s="60"/>
      <c r="C19" s="55"/>
      <c r="D19" s="8"/>
      <c r="I19" s="2"/>
      <c r="J19" s="2"/>
      <c r="S19">
        <v>6</v>
      </c>
    </row>
    <row r="20" spans="1:19" ht="18" x14ac:dyDescent="0.25">
      <c r="A20" s="33">
        <v>16</v>
      </c>
      <c r="B20" s="60"/>
      <c r="C20" s="55"/>
      <c r="D20" s="8"/>
      <c r="E20" s="2"/>
      <c r="F20" s="2"/>
      <c r="G20" s="2"/>
      <c r="H20" s="2"/>
      <c r="I20" s="2"/>
      <c r="J20" s="2"/>
      <c r="S20">
        <v>1</v>
      </c>
    </row>
    <row r="21" spans="1:19" ht="18" x14ac:dyDescent="0.25">
      <c r="A21" s="33">
        <v>17</v>
      </c>
      <c r="B21" s="60"/>
      <c r="C21" s="55"/>
      <c r="D21" s="8"/>
      <c r="E21" s="2"/>
      <c r="F21" s="2"/>
      <c r="G21" s="2"/>
      <c r="H21" s="2"/>
      <c r="I21" s="2"/>
      <c r="J21" s="2"/>
      <c r="S21">
        <v>1</v>
      </c>
    </row>
    <row r="22" spans="1:19" ht="18" x14ac:dyDescent="0.25">
      <c r="A22" s="33">
        <v>18</v>
      </c>
      <c r="B22" s="60"/>
      <c r="C22" s="55"/>
      <c r="D22" s="8"/>
      <c r="E22" s="2"/>
      <c r="F22" s="2"/>
      <c r="G22" s="2"/>
      <c r="H22" s="2"/>
      <c r="I22" s="2"/>
      <c r="J22" s="2"/>
      <c r="S22">
        <v>4</v>
      </c>
    </row>
    <row r="23" spans="1:19" ht="18" x14ac:dyDescent="0.25">
      <c r="A23" s="33">
        <v>19</v>
      </c>
      <c r="B23" s="60"/>
      <c r="C23" s="55"/>
      <c r="D23" s="8"/>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2026-02-26T06:43:56Z</dcterms:modified>
</cp:coreProperties>
</file>
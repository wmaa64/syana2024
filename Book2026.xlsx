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4BFC4F62-7D6B-4D7A-9ED9-1A3D83F88C2D}" xr6:coauthVersionLast="47" xr6:coauthVersionMax="47" xr10:uidLastSave="{00000000-0000-0000-0000-000000000000}"/>
  <bookViews>
    <workbookView xWindow="-120" yWindow="-120" windowWidth="20730" windowHeight="11160" tabRatio="947" firstSheet="12"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<sst xmlns="http://schemas.openxmlformats.org/spreadsheetml/2006/main" count="892" uniqueCount="314">
  <si>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</si>
  <si>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</si>
  <si>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</si>
  <si>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</si>
  <si>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</si>
  <si>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</si>
  <si>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</si>
  <si>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</si>
  <si>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</si>
  <si>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</si>
  <si>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</si>
  <si>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</si>
  <si>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</si>
  <si>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</si>
  <si>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</si>
  <si>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</si>
  <si>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</si>
  <si>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</si>
  <si>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</si>
  <si>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</si>
  <si>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</si>
  <si>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</si>
  <si>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</si>
  <si>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</si>
  <si>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</si>
  <si>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</si>
  <si>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</si>
  <si>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</si>
  <si>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</si>
  <si>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</si>
  <si>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</si>
  <si>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</si>
  <si>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</si>
  <si>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</si>
  <si>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</si>
  <si>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</si>
  <si>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</si>
  <si>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</si>
  <si>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</si>
  <si>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</si>
  <si>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</si>
  <si>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</si>
  <si>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</si>
  <si>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</si>
  <si>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</si>
  <si>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</si>
  <si>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</si>
  <si>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</si>
  <si>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</si>
  <si>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</si>
  <si>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</si>
  <si>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</si>
  <si>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</si>
  <si>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</si>
  <si>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</si>
  <si>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</si>
  <si>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</si>
  <si>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</si>
  <si>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</si>
  <si>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</si>
  <si>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</si>
  <si>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</si>
  <si>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</si>
  <si>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</si>
  <si>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</si>
  <si>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</si>
  <si>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</si>
  <si>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</si>
  <si>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</si>
  <si>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</si>
  <si>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</si>
  <si>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</si>
  <si>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</si>
  <si>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</si>
  <si>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</si>
  <si>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</si>
  <si>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</si>
  <si>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</si>
  <si>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</si>
  <si>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</si>
  <si>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</si>
  <si>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</si>
  <si>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</si>
  <si>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</si>
  <si>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</si>
  <si>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</si>
  <si>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</si>
  <si>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</si>
  <si>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</si>
  <si>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</si>
  <si>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</si>
  <si>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</si>
  <si>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</si>
  <si>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</si>
  <si>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</si>
  <si>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</si>
  <si>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</si>
  <si>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</si>
  <si>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</si>
  <si>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</si>
  <si>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</si>
  <si>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</si>
  <si>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</si>
  <si>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</si>
  <si>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</si>
  <si>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</si>
  <si>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</si>
  <si>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</si>
  <si>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</si>
  <si>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</si>
  <si>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</si>
  <si>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</si>
  <si>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</si>
  <si>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</si>
  <si>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</si>
  <si>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</si>
  <si>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</si>
  <si>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</si>
  <si>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</si>
  <si>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</si>
  <si>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</si>
  <si>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</si>
  <si>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</si>
  <si>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</si>
  <si>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</si>
  <si>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</si>
  <si>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</si>
  <si>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</si>
  <si>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</si>
  <si>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</si>
  <si>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</si>
  <si>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</si>
  <si>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</si>
  <si>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</si>
  <si>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</si>
  <si>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</si>
  <si>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</si>
  <si>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</si>
  <si>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</si>
  <si>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</si>
  <si>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</si>
  <si>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</si>
  <si>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</si>
  <si>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</si>
  <si>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</si>
  <si>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</si>
  <si>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</si>
  <si>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</si>
  <si>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</si>
  <si>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</si>
  <si>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</si>
  <si>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</si>
  <si>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</si>
  <si>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</si>
  <si>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</si>
  <si>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</si>
  <si>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</si>
  <si>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</si>
  <si>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</si>
  <si>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</si>
  <si>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</si>
  <si>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</si>
  <si>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</si>
  <si>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</si>
  <si>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</si>
  <si>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</si>
  <si>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</si>
  <si>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</si>
  <si>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</si>
  <si>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</si>
  <si>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</si>
  <si>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</si>
  <si>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</si>
  <si>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</si>
  <si>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</si>
  <si>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</si>
  <si>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</si>
  <si>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</si>
  <si>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</si>
  <si>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</si>
  <si>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</si>
  <si>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</si>
  <si>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</si>
  <si>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</si>
  <si>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</si>
  <si>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</si>
  <si>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</si>
  <si>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</si>
  <si>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</si>
  <si>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</si>
  <si>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</si>
  <si>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</si>
  <si>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</si>
  <si>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</si>
  <si>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</si>
  <si>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</si>
  <si>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</si>
  <si>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</si>
  <si>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</si>
  <si>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</si>
  <si>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</si>
  <si>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</si>
  <si>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</si>
  <si>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</si>
  <si>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</si>
  <si>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</si>
  <si>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</si>
  <si>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</si>
  <si>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</si>
  <si>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</si>
  <si>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</si>
  <si>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</si>
  <si>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</si>
  <si>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</si>
  <si>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</si>
  <si>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</si>
  <si>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</si>
  <si>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</si>
  <si>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</si>
  <si>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</si>
  <si>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</si>
  <si>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</si>
  <si>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</si>
  <si>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</si>
  <si>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</si>
  <si>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</si>
  <si>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</si>
  <si>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</si>
  <si>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</si>
  <si>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</si>
  <si>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</si>
  <si>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</si>
  <si>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</si>
  <si>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</si>
  <si>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</si>
  <si>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</si>
  <si>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</si>
  <si>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</si>
  <si>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</si>
  <si>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</si>
  <si>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</si>
  <si>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</si>
  <si>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</si>
  <si>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</si>
  <si>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</si>
  <si>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</si>
  <si>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</si>
  <si>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</si>
  <si>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</si>
  <si>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</si>
  <si>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</si>
  <si>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</si>
  <si>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</si>
  <si>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</si>
  <si>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</si>
  <si>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</si>
  <si>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</si>
  <si>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</si>
  <si>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</si>
  <si>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</si>
  <si>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</si>
  <si>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</si>
  <si>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</si>
  <si>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</si>
  <si>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</si>
  <si>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</si>
  <si>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</si>
  <si>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</si>
  <si>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</si>
  <si>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</si>
  <si>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</si>
  <si>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</si>
  <si>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</si>
  <si>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</si>
  <si>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</si>
  <si>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</si>
  <si>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</si>
  <si>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</si>
  <si>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</si>
  <si>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</si>
  <si>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</si>
  <si>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</si>
  <si>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</si>
  <si>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</si>
  <si>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</si>
  <si>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</si>
  <si>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</si>
  <si>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</si>
  <si>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</si>
  <si>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</si>
  <si>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</si>
  <si>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</si>
  <si>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</si>
  <si>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</si>
  <si>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</si>
  <si>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</si>
  <si>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</si>
  <si>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</si>
  <si>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</si>
  <si>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</si>
  <si>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</si>
  <si>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</si>
  <si>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</si>
  <si>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</si>
  <si>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</si>
  <si>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</si>
  <si>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</si>
  <si>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</si>
  <si>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</si>
  <si>
    <t xml:space="preserve">تحت حساب صيانة شهور يوليه - اغسطس - سبتمبر / 2026 </t>
  </si>
  <si>
    <t>تحت حساب نظافة السلم لام احمد عن شهر اغسطس /2026</t>
  </si>
  <si>
    <t>تحت حساب كهرباء شهر اغسطس /2026</t>
  </si>
  <si>
    <t>تحت حساب صيانة شهور سبتمبر - اكتوبر- نوفمبر - ديسمبر / 2026</t>
  </si>
  <si>
    <t>تحت حساب صيانة شهر يوليه واغسطس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</si>
</sst>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9">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2">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9" t="s">
        <v>117</v>
      </c>
      <c r="D2" s="99"/>
      <c r="E2" s="99"/>
      <c r="F2" s="99"/>
      <c r="G2" s="99"/>
      <c r="H2" s="99"/>
      <c r="I2" s="99"/>
      <c r="J2" s="99"/>
      <c r="K2" s="99"/>
      <c r="L2" s="99"/>
      <c r="M2" s="99"/>
      <c r="N2" s="99"/>
      <c r="O2" s="99"/>
      <c r="P2" s="99"/>
      <c r="Q2" s="99"/>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212</v>
      </c>
      <c r="D2" s="100"/>
      <c r="E2" s="100"/>
      <c r="F2" s="100"/>
      <c r="G2" s="100"/>
      <c r="H2" s="100"/>
      <c r="I2" s="100"/>
      <c r="J2" s="100"/>
      <c r="K2" s="100"/>
      <c r="L2" s="100"/>
      <c r="M2" s="100"/>
      <c r="N2" s="100"/>
      <c r="O2" s="19"/>
    </row>
    <row r="3" spans="1:17" ht="20.25" x14ac:dyDescent="0.25">
      <c r="C3" s="83"/>
      <c r="F3" s="101" t="s">
        <v>236</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185</v>
      </c>
      <c r="D2" s="100"/>
      <c r="E2" s="100"/>
      <c r="F2" s="100"/>
      <c r="G2" s="100"/>
      <c r="H2" s="100"/>
      <c r="I2" s="100"/>
      <c r="J2" s="100"/>
      <c r="K2" s="100"/>
      <c r="L2" s="100"/>
      <c r="M2" s="100"/>
      <c r="N2" s="100"/>
      <c r="O2" s="19"/>
    </row>
    <row r="3" spans="1:17" ht="20.25" x14ac:dyDescent="0.25">
      <c r="C3" s="83"/>
      <c r="F3" s="101" t="s">
        <v>188</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9" t="s">
        <v>36</v>
      </c>
      <c r="C2" s="99"/>
      <c r="D2" s="99"/>
      <c r="E2" s="99"/>
      <c r="F2" s="99"/>
      <c r="G2" s="99"/>
      <c r="H2" s="99"/>
      <c r="I2" s="99"/>
      <c r="J2" s="99"/>
      <c r="K2" s="99"/>
      <c r="L2" s="99"/>
      <c r="M2" s="99"/>
      <c r="N2" s="99"/>
      <c r="O2" s="99"/>
      <c r="P2" s="99"/>
      <c r="Q2" s="99"/>
      <c r="R2" s="99"/>
      <c r="S2" s="99"/>
      <c r="T2" s="99"/>
      <c r="U2" s="99"/>
      <c r="V2" s="99"/>
      <c r="W2" s="99"/>
      <c r="X2" s="99"/>
      <c r="Y2" s="99"/>
      <c r="Z2" s="99"/>
      <c r="AA2" s="99"/>
      <c r="AB2" s="99"/>
      <c r="AC2" s="99"/>
      <c r="AD2" s="99"/>
      <c r="AE2" s="99"/>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2" t="s">
        <v>140</v>
      </c>
      <c r="D1" s="102"/>
      <c r="E1" s="102"/>
      <c r="F1" s="102"/>
      <c r="G1" s="102"/>
      <c r="H1" s="102"/>
      <c r="I1" s="102"/>
      <c r="J1" s="102"/>
      <c r="K1" s="102"/>
      <c r="L1" s="102"/>
      <c r="M1" s="102"/>
      <c r="N1" s="102"/>
      <c r="O1" s="102"/>
    </row>
    <row r="2" spans="1:20" ht="26.25" x14ac:dyDescent="0.4">
      <c r="B2" s="18"/>
      <c r="C2" s="99"/>
      <c r="D2" s="99"/>
      <c r="E2" s="99"/>
      <c r="F2" s="99"/>
      <c r="G2" s="99"/>
      <c r="H2" s="99"/>
      <c r="I2" s="99"/>
      <c r="J2" s="99"/>
      <c r="K2" s="99"/>
      <c r="L2" s="99"/>
      <c r="M2" s="99"/>
      <c r="N2" s="99"/>
      <c r="O2" s="99"/>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300</v>
      </c>
      <c r="K12" s="26">
        <f>Apartment9!D12</f>
        <v>150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150</v>
      </c>
      <c r="E13" s="26">
        <f>Apartment3!D13</f>
        <v>150</v>
      </c>
      <c r="F13" s="26">
        <f>Apartment4!D13</f>
        <v>150</v>
      </c>
      <c r="G13" s="26">
        <f>Apartment5!D13</f>
        <v>0</v>
      </c>
      <c r="H13" s="26">
        <f>Apartment6!D13</f>
        <v>300</v>
      </c>
      <c r="I13" s="26">
        <f>Apartment7!D13</f>
        <v>300</v>
      </c>
      <c r="J13" s="26">
        <f>Apartment8!D13</f>
        <v>300</v>
      </c>
      <c r="K13" s="26">
        <f>Apartment9!D13</f>
        <v>150</v>
      </c>
      <c r="L13" s="26">
        <f>Apartment10!D13</f>
        <v>150</v>
      </c>
      <c r="M13" s="26">
        <f>Apartment11!D13</f>
        <v>0</v>
      </c>
      <c r="N13" s="26">
        <f>Apartment12!D13</f>
        <v>250</v>
      </c>
      <c r="O13" s="26">
        <f>Apartment13!D13</f>
        <v>0</v>
      </c>
      <c r="P13" s="26">
        <f>Apartment14!D13</f>
        <v>0</v>
      </c>
    </row>
    <row r="14" spans="1:20" ht="23.25" x14ac:dyDescent="0.35">
      <c r="A14" s="8"/>
      <c r="B14" s="25">
        <v>9</v>
      </c>
      <c r="C14" s="26">
        <f>Apartment1!D14</f>
        <v>0</v>
      </c>
      <c r="D14" s="26">
        <f>Apartment2!D14</f>
        <v>150</v>
      </c>
      <c r="E14" s="26">
        <f>Apartment3!D14</f>
        <v>150</v>
      </c>
      <c r="F14" s="26">
        <f>Apartment4!D14</f>
        <v>150</v>
      </c>
      <c r="G14" s="26">
        <f>Apartment5!D14</f>
        <v>0</v>
      </c>
      <c r="H14" s="26">
        <f>Apartment6!D14</f>
        <v>300</v>
      </c>
      <c r="I14" s="26">
        <f>Apartment7!D14</f>
        <v>300</v>
      </c>
      <c r="J14" s="26">
        <f>Apartment8!D14</f>
        <v>0</v>
      </c>
      <c r="K14" s="26">
        <f>Apartment9!D14</f>
        <v>150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150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150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150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9" t="s">
        <v>47</v>
      </c>
      <c r="D2" s="99"/>
      <c r="E2" s="99"/>
      <c r="F2" s="99"/>
      <c r="G2" s="99"/>
      <c r="H2" s="99"/>
      <c r="I2" s="99"/>
      <c r="J2" s="99"/>
      <c r="K2" s="99"/>
      <c r="L2" s="99"/>
      <c r="M2" s="99"/>
      <c r="N2" s="99"/>
    </row>
    <row r="3" spans="1:14" ht="18" x14ac:dyDescent="0.25">
      <c r="C3" s="83"/>
      <c r="G3" s="103" t="s">
        <v>94</v>
      </c>
      <c r="H3" s="103"/>
      <c r="I3" s="103"/>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1050</v>
      </c>
      <c r="D5" s="92"/>
      <c r="E5" s="94">
        <f>D5-C5</f>
        <v>-1050</v>
      </c>
      <c r="F5" s="2" t="s">
        <v>50</v>
      </c>
      <c r="G5" s="91"/>
      <c r="H5" s="92"/>
      <c r="I5" s="94">
        <f>H5-G5</f>
        <v>0</v>
      </c>
      <c r="J5" s="2"/>
    </row>
    <row r="6" spans="1:14" ht="18" x14ac:dyDescent="0.25">
      <c r="A6" s="8">
        <v>2</v>
      </c>
      <c r="B6" s="20">
        <v>2</v>
      </c>
      <c r="C6" s="91">
        <f>Apartment2!D4</f>
        <v>1425</v>
      </c>
      <c r="D6" s="92"/>
      <c r="E6" s="94">
        <f t="shared" ref="E6:E18" si="0">D6-C6</f>
        <v>-1425</v>
      </c>
      <c r="F6" s="2" t="s">
        <v>51</v>
      </c>
      <c r="G6" s="91"/>
      <c r="H6" s="92"/>
      <c r="I6" s="94">
        <f t="shared" ref="I6:I18" si="1">H6-G6</f>
        <v>0</v>
      </c>
      <c r="J6" s="2"/>
    </row>
    <row r="7" spans="1:14" ht="18" x14ac:dyDescent="0.25">
      <c r="A7" s="8">
        <v>3</v>
      </c>
      <c r="B7" s="20">
        <v>3</v>
      </c>
      <c r="C7" s="91">
        <f>Apartment3!D4</f>
        <v>1350</v>
      </c>
      <c r="D7" s="92"/>
      <c r="E7" s="94">
        <f t="shared" si="0"/>
        <v>-1350</v>
      </c>
      <c r="F7" s="2" t="s">
        <v>48</v>
      </c>
      <c r="G7" s="91"/>
      <c r="H7" s="92"/>
      <c r="I7" s="94">
        <f t="shared" si="1"/>
        <v>0</v>
      </c>
      <c r="J7" s="2"/>
    </row>
    <row r="8" spans="1:14" ht="18" x14ac:dyDescent="0.25">
      <c r="A8" s="8">
        <v>4</v>
      </c>
      <c r="B8" s="20">
        <v>4</v>
      </c>
      <c r="C8" s="91">
        <f>Apartment4!D4</f>
        <v>1350</v>
      </c>
      <c r="D8" s="92"/>
      <c r="E8" s="94">
        <f t="shared" si="0"/>
        <v>-1350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2700</v>
      </c>
      <c r="D11" s="92"/>
      <c r="E11" s="94">
        <f t="shared" si="0"/>
        <v>-2700</v>
      </c>
      <c r="F11" s="2" t="s">
        <v>48</v>
      </c>
      <c r="G11" s="91"/>
      <c r="H11" s="92"/>
      <c r="I11" s="94">
        <f t="shared" si="1"/>
        <v>0</v>
      </c>
      <c r="J11" s="2"/>
    </row>
    <row r="12" spans="1:14" ht="18" x14ac:dyDescent="0.25">
      <c r="A12" s="8">
        <v>8</v>
      </c>
      <c r="B12" s="20">
        <v>8</v>
      </c>
      <c r="C12" s="91">
        <f>Apartment8!D4</f>
        <v>2400</v>
      </c>
      <c r="D12" s="92"/>
      <c r="E12" s="94">
        <f t="shared" si="0"/>
        <v>-2400</v>
      </c>
      <c r="F12" s="2" t="s">
        <v>120</v>
      </c>
      <c r="G12" s="91"/>
      <c r="H12" s="92"/>
      <c r="I12" s="94">
        <f t="shared" si="1"/>
        <v>0</v>
      </c>
      <c r="J12" s="2"/>
    </row>
    <row r="13" spans="1:14" ht="18" x14ac:dyDescent="0.25">
      <c r="A13" s="8">
        <v>9</v>
      </c>
      <c r="B13" s="20">
        <v>9</v>
      </c>
      <c r="C13" s="91">
        <f>Apartment9!D4</f>
        <v>1350</v>
      </c>
      <c r="D13" s="92"/>
      <c r="E13" s="94">
        <f t="shared" si="0"/>
        <v>-1350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9" t="s">
        <v>21</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20</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9" t="s">
        <v>114</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4" t="s">
        <v>118</v>
      </c>
      <c r="J20" s="104"/>
      <c r="K20" s="104"/>
      <c r="L20" s="104"/>
      <c r="M20" s="104"/>
      <c r="N20" s="104"/>
    </row>
    <row r="21" spans="1:17" ht="23.25" x14ac:dyDescent="0.35">
      <c r="A21" s="8"/>
      <c r="B21" s="8"/>
      <c r="C21" s="51"/>
      <c r="D21" s="33"/>
      <c r="E21" s="8"/>
      <c r="F21" s="8"/>
      <c r="G21" s="8"/>
      <c r="H21" s="2"/>
      <c r="I21" s="104" t="s">
        <v>238</v>
      </c>
      <c r="J21" s="104"/>
      <c r="K21" s="104"/>
      <c r="L21" s="104"/>
      <c r="M21" s="104"/>
      <c r="N21" s="104"/>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5"/>
      <c r="K23" s="105"/>
      <c r="L23" s="105"/>
      <c r="M23" s="105"/>
      <c r="N23" s="105"/>
      <c r="O23" s="105"/>
      <c r="P23" s="105"/>
    </row>
    <row r="24" spans="1:17" ht="18" x14ac:dyDescent="0.25">
      <c r="A24" s="8"/>
      <c r="B24" s="8"/>
      <c r="C24" s="51"/>
      <c r="D24" s="33"/>
      <c r="E24" s="8"/>
      <c r="F24" s="8"/>
      <c r="G24" s="8">
        <v>1</v>
      </c>
      <c r="H24" s="8"/>
      <c r="I24" s="8"/>
      <c r="J24" s="105"/>
      <c r="K24" s="105"/>
      <c r="L24" s="105"/>
      <c r="M24" s="105"/>
      <c r="N24" s="105"/>
      <c r="O24" s="105"/>
      <c r="P24" s="105"/>
    </row>
    <row r="25" spans="1:17" ht="36" customHeight="1" x14ac:dyDescent="0.25">
      <c r="A25" s="8"/>
      <c r="B25" s="8"/>
      <c r="C25" s="51"/>
      <c r="D25" s="33"/>
      <c r="E25" s="8"/>
      <c r="F25" s="8"/>
      <c r="G25" s="48">
        <v>2</v>
      </c>
      <c r="H25" s="48"/>
      <c r="I25" s="48"/>
      <c r="J25" s="105"/>
      <c r="K25" s="105"/>
      <c r="L25" s="105"/>
      <c r="M25" s="105"/>
      <c r="N25" s="105"/>
      <c r="O25" s="105"/>
      <c r="P25" s="105"/>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22</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9" t="s">
        <v>23</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zoomScaleNormal="100" workbookViewId="0">
      <selection activeCell="F9" sqref="F9"/>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9" t="s">
        <v>24</v>
      </c>
      <c r="D2" s="99"/>
      <c r="E2" s="99"/>
      <c r="F2" s="99"/>
      <c r="G2" s="99"/>
      <c r="H2" s="99"/>
      <c r="I2" s="99"/>
      <c r="J2" s="99"/>
      <c r="K2" s="99"/>
      <c r="L2" s="99"/>
      <c r="M2" s="99"/>
      <c r="N2" s="99"/>
      <c r="O2" s="99"/>
      <c r="P2" s="99"/>
      <c r="Q2" s="99"/>
    </row>
    <row r="3" spans="1:22" ht="56.25" x14ac:dyDescent="0.4">
      <c r="C3" s="57"/>
      <c r="D3" s="18" t="s">
        <v>8</v>
      </c>
      <c r="E3" s="18"/>
      <c r="F3" s="18" t="s">
        <v>18</v>
      </c>
      <c r="G3" s="1"/>
      <c r="H3" s="1"/>
      <c r="I3" s="1"/>
      <c r="J3" s="1"/>
      <c r="K3" s="1"/>
      <c r="L3" s="1"/>
      <c r="M3" s="1"/>
      <c r="N3" s="1"/>
      <c r="O3" s="100" t="s">
        <v>97</v>
      </c>
      <c r="P3" s="100"/>
      <c r="Q3" s="100"/>
      <c r="R3" s="100"/>
      <c r="S3" s="100"/>
      <c r="T3" s="100"/>
      <c r="U3" s="100"/>
      <c r="V3" s="100"/>
    </row>
    <row r="4" spans="1:22" ht="18" x14ac:dyDescent="0.25">
      <c r="C4" s="49"/>
      <c r="D4" s="11">
        <f>SUM(D6:D2004)</f>
        <v>1350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6" t="s">
        <v>77</v>
      </c>
      <c r="S5" s="107"/>
      <c r="T5" s="107"/>
      <c r="U5" s="108"/>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46261</v>
      </c>
      <c r="D12" s="55">
        <v>150</v>
      </c>
      <c r="E12" s="8"/>
      <c r="F12" s="8">
        <v>150</v>
      </c>
      <c r="G12" s="8" t="s">
        <v>104</v>
      </c>
      <c r="H12" s="2"/>
      <c r="I12" s="2"/>
      <c r="J12" s="2"/>
      <c r="K12" s="2"/>
      <c r="L12" s="2"/>
      <c r="M12" s="2"/>
      <c r="P12" s="31" t="s">
        <v>78</v>
      </c>
      <c r="Q12" s="35">
        <f>SUM(Q6:Q11)</f>
        <v>0</v>
      </c>
      <c r="R12" s="109"/>
      <c r="S12" s="110"/>
      <c r="T12" s="110"/>
      <c r="U12" s="111"/>
    </row>
    <row r="13" spans="1:22" ht="18" x14ac:dyDescent="0.25">
      <c r="A13" s="8">
        <v>8</v>
      </c>
      <c r="B13" s="8">
        <v>8</v>
      </c>
      <c r="C13" s="51">
        <v>46261</v>
      </c>
      <c r="D13" s="55">
        <v>150</v>
      </c>
      <c r="E13" s="8"/>
      <c r="F13" s="8">
        <v>150</v>
      </c>
      <c r="G13" s="8" t="s">
        <v>105</v>
      </c>
      <c r="H13" s="2"/>
      <c r="I13" s="2"/>
      <c r="J13" s="2"/>
      <c r="K13" s="2"/>
      <c r="L13" s="2"/>
      <c r="M13" s="2"/>
      <c r="O13" s="2"/>
      <c r="P13" s="38"/>
      <c r="Q13" s="38"/>
      <c r="R13" s="2"/>
      <c r="S13" s="39"/>
    </row>
    <row r="14" spans="1:22" ht="18" x14ac:dyDescent="0.25">
      <c r="A14" s="8">
        <v>9</v>
      </c>
      <c r="B14" s="8">
        <v>9</v>
      </c>
      <c r="C14" s="51">
        <v>46261</v>
      </c>
      <c r="D14" s="55">
        <v>150</v>
      </c>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11" sqref="D11:D13"/>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9" t="s">
        <v>115</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2400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98">
        <v>46270</v>
      </c>
      <c r="D12" s="33">
        <v>300</v>
      </c>
      <c r="E12" s="8"/>
      <c r="F12" s="33">
        <v>300</v>
      </c>
      <c r="G12" s="8" t="s">
        <v>228</v>
      </c>
      <c r="H12" s="2"/>
      <c r="I12" s="2"/>
      <c r="J12" s="2"/>
      <c r="K12" s="2"/>
      <c r="L12" s="2"/>
      <c r="M12" s="2"/>
    </row>
    <row r="13" spans="1:17" ht="18" x14ac:dyDescent="0.25">
      <c r="A13" s="8">
        <v>8</v>
      </c>
      <c r="B13" s="8">
        <v>8</v>
      </c>
      <c r="C13" s="98">
        <v>46270</v>
      </c>
      <c r="D13" s="33">
        <v>300</v>
      </c>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G20" sqref="G2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9" t="s">
        <v>25</v>
      </c>
      <c r="D2" s="99"/>
      <c r="E2" s="99"/>
      <c r="F2" s="99"/>
      <c r="G2" s="99"/>
      <c r="H2" s="99"/>
      <c r="I2" s="99"/>
      <c r="J2" s="99"/>
      <c r="K2" s="99"/>
      <c r="L2" s="99"/>
      <c r="M2" s="99"/>
      <c r="N2" s="99"/>
      <c r="O2" s="99"/>
      <c r="P2" s="99"/>
      <c r="Q2" s="99"/>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2700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v>300</v>
      </c>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9" t="s">
        <v>116</v>
      </c>
      <c r="D2" s="99"/>
      <c r="E2" s="99"/>
      <c r="F2" s="99"/>
      <c r="G2" s="99"/>
      <c r="H2" s="99"/>
      <c r="I2" s="99"/>
      <c r="J2" s="99"/>
      <c r="K2" s="99"/>
      <c r="L2" s="99"/>
      <c r="M2" s="99"/>
      <c r="N2" s="99"/>
      <c r="O2" s="99"/>
      <c r="P2" s="99"/>
      <c r="Q2" s="99"/>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3" sqref="D13:D14"/>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28</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1350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E14" sqref="E14"/>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9" t="s">
        <v>27</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1350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M12" sqref="M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9" t="s">
        <v>29</v>
      </c>
      <c r="D2" s="99"/>
      <c r="E2" s="99"/>
      <c r="F2" s="99"/>
      <c r="G2" s="99"/>
      <c r="H2" s="99"/>
      <c r="I2" s="99"/>
      <c r="J2" s="99"/>
      <c r="K2" s="99"/>
      <c r="L2" s="99"/>
      <c r="M2" s="99"/>
      <c r="N2" s="99"/>
      <c r="O2" s="99"/>
      <c r="P2" s="99"/>
      <c r="Q2" s="99"/>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1425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v>150</v>
      </c>
      <c r="E14" s="8"/>
      <c r="F14" s="33">
        <v>150</v>
      </c>
      <c r="G14" s="8" t="s">
        <v>233</v>
      </c>
      <c r="H14" s="2"/>
      <c r="I14" s="2"/>
      <c r="J14" s="2"/>
      <c r="K14" s="2"/>
      <c r="L14" s="2"/>
      <c r="M14" s="2"/>
    </row>
    <row r="15" spans="1:17" ht="18" x14ac:dyDescent="0.25">
      <c r="A15" s="33">
        <v>10</v>
      </c>
      <c r="B15" s="33">
        <v>10</v>
      </c>
      <c r="C15" s="77">
        <v>46299</v>
      </c>
      <c r="D15" s="8">
        <v>150</v>
      </c>
      <c r="E15" s="8"/>
      <c r="F15" s="33">
        <v>150</v>
      </c>
      <c r="G15" s="8" t="s">
        <v>234</v>
      </c>
      <c r="H15" s="2"/>
      <c r="I15" s="2"/>
      <c r="J15" s="2"/>
      <c r="K15" s="2"/>
      <c r="L15" s="2"/>
      <c r="M15" s="2"/>
    </row>
    <row r="16" spans="1:17" ht="18" x14ac:dyDescent="0.25">
      <c r="A16" s="33">
        <v>11</v>
      </c>
      <c r="B16" s="33">
        <v>11</v>
      </c>
      <c r="C16" s="77">
        <v>46350</v>
      </c>
      <c r="D16" s="8">
        <v>150</v>
      </c>
      <c r="E16" s="8"/>
      <c r="F16" s="33">
        <v>150</v>
      </c>
      <c r="G16" s="8" t="s">
        <v>235</v>
      </c>
      <c r="H16" s="2"/>
      <c r="I16" s="2"/>
      <c r="J16" s="2"/>
      <c r="K16" s="2"/>
      <c r="L16" s="2"/>
      <c r="M16" s="2"/>
    </row>
    <row r="17" spans="1:13" ht="18" x14ac:dyDescent="0.25">
      <c r="A17" s="33">
        <v>12</v>
      </c>
      <c r="B17" s="33">
        <v>12</v>
      </c>
      <c r="C17" s="77">
        <v>46350</v>
      </c>
      <c r="D17" s="8">
        <v>150</v>
      </c>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10" sqref="D10:D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9" t="s">
        <v>16</v>
      </c>
      <c r="D2" s="99"/>
      <c r="E2" s="99"/>
      <c r="F2" s="99"/>
      <c r="G2" s="99"/>
      <c r="H2" s="99"/>
      <c r="I2" s="99"/>
      <c r="J2" s="99"/>
      <c r="K2" s="99"/>
      <c r="L2" s="99"/>
      <c r="M2" s="99"/>
      <c r="N2" s="99"/>
      <c r="O2" s="99"/>
      <c r="P2" s="99"/>
      <c r="Q2" s="99"/>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67" workbookViewId="0">
      <selection activeCell="B79" sqref="B79"/>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18475</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v>46261</v>
      </c>
      <c r="C74" s="55">
        <v>450</v>
      </c>
      <c r="D74" s="8"/>
      <c r="E74" s="8" t="s">
        <v>184</v>
      </c>
      <c r="F74" s="8">
        <v>9</v>
      </c>
      <c r="G74" s="8" t="s">
        <v>309</v>
      </c>
    </row>
    <row r="75" spans="1:7" ht="18" x14ac:dyDescent="0.25">
      <c r="A75" s="8">
        <v>71</v>
      </c>
      <c r="B75" s="51">
        <v>46266</v>
      </c>
      <c r="C75" s="55">
        <v>300</v>
      </c>
      <c r="E75" s="8" t="s">
        <v>48</v>
      </c>
      <c r="F75" s="8">
        <v>7</v>
      </c>
      <c r="G75" s="8" t="s">
        <v>233</v>
      </c>
    </row>
    <row r="76" spans="1:7" ht="18" x14ac:dyDescent="0.25">
      <c r="A76" s="8">
        <v>72</v>
      </c>
      <c r="B76" s="51">
        <v>46266</v>
      </c>
      <c r="C76" s="55">
        <v>150</v>
      </c>
      <c r="D76" s="8"/>
      <c r="E76" s="8" t="s">
        <v>244</v>
      </c>
      <c r="F76" s="8">
        <v>4</v>
      </c>
      <c r="G76" s="8" t="s">
        <v>233</v>
      </c>
    </row>
    <row r="77" spans="1:7" ht="18" x14ac:dyDescent="0.25">
      <c r="A77" s="8">
        <v>73</v>
      </c>
      <c r="B77" s="51">
        <v>46266</v>
      </c>
      <c r="C77" s="55">
        <v>150</v>
      </c>
      <c r="D77" s="8"/>
      <c r="E77" s="8" t="s">
        <v>141</v>
      </c>
      <c r="F77" s="8">
        <v>3</v>
      </c>
      <c r="G77" s="8" t="s">
        <v>233</v>
      </c>
    </row>
    <row r="78" spans="1:7" ht="18" x14ac:dyDescent="0.25">
      <c r="A78" s="8">
        <v>74</v>
      </c>
      <c r="B78" s="51">
        <v>46268</v>
      </c>
      <c r="C78" s="55">
        <v>600</v>
      </c>
      <c r="E78" s="8" t="s">
        <v>160</v>
      </c>
      <c r="F78" s="8">
        <v>2</v>
      </c>
      <c r="G78" s="8" t="s">
        <v>312</v>
      </c>
    </row>
    <row r="79" spans="1:7" ht="18" x14ac:dyDescent="0.25">
      <c r="A79" s="8">
        <v>75</v>
      </c>
      <c r="B79" s="51">
        <v>46270</v>
      </c>
      <c r="C79" s="55">
        <v>600</v>
      </c>
      <c r="D79" s="8"/>
      <c r="E79" s="8" t="s">
        <v>249</v>
      </c>
      <c r="F79" s="8">
        <v>8</v>
      </c>
      <c r="G79" s="8" t="s">
        <v>313</v>
      </c>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9" t="s">
        <v>13</v>
      </c>
      <c r="C2" s="99"/>
      <c r="D2" s="99"/>
      <c r="E2" s="99"/>
      <c r="F2" s="99"/>
      <c r="G2" s="99"/>
      <c r="H2" s="99"/>
      <c r="I2" s="99"/>
      <c r="J2" s="99"/>
      <c r="K2" s="99"/>
      <c r="L2" s="99"/>
      <c r="M2" s="99"/>
      <c r="N2" s="99"/>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18475</v>
      </c>
      <c r="D5" s="71">
        <f>outcomes!C3</f>
        <v>20296</v>
      </c>
      <c r="E5" s="72">
        <f>(C3+C5)-D5</f>
        <v>12081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29" workbookViewId="0">
      <selection activeCell="B47" sqref="B47"/>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9" t="s">
        <v>10</v>
      </c>
      <c r="C2" s="99"/>
      <c r="D2" s="99"/>
      <c r="E2" s="99"/>
      <c r="F2" s="99"/>
      <c r="G2" s="99"/>
      <c r="H2" s="99"/>
      <c r="I2" s="99"/>
      <c r="J2" s="99"/>
      <c r="K2" s="99"/>
      <c r="L2" s="99"/>
      <c r="M2" s="99"/>
      <c r="N2" s="99"/>
    </row>
    <row r="3" spans="1:19" ht="18" x14ac:dyDescent="0.25">
      <c r="B3" s="58" t="s">
        <v>12</v>
      </c>
      <c r="C3" s="53">
        <f>SUM(C5:C2002)</f>
        <v>20296</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v>46262</v>
      </c>
      <c r="C43" s="55">
        <v>400</v>
      </c>
      <c r="D43" s="8" t="s">
        <v>310</v>
      </c>
    </row>
    <row r="44" spans="1:20" ht="18" x14ac:dyDescent="0.25">
      <c r="A44" s="33">
        <v>40</v>
      </c>
      <c r="B44" s="60">
        <v>46264</v>
      </c>
      <c r="C44" s="55">
        <v>243</v>
      </c>
      <c r="D44" s="8" t="s">
        <v>311</v>
      </c>
    </row>
    <row r="45" spans="1:20" ht="18" x14ac:dyDescent="0.25">
      <c r="A45" s="33">
        <v>41</v>
      </c>
      <c r="B45" s="60">
        <v>46264</v>
      </c>
      <c r="C45" s="55">
        <v>2</v>
      </c>
      <c r="D45" s="8" t="s">
        <v>275</v>
      </c>
    </row>
    <row r="46" spans="1:20" ht="18" x14ac:dyDescent="0.25">
      <c r="A46" s="33">
        <v>42</v>
      </c>
      <c r="B46" s="60">
        <v>46270</v>
      </c>
      <c r="C46" s="55">
        <v>50</v>
      </c>
      <c r="D46" s="8" t="s">
        <v>252</v>
      </c>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2026-09-07T07:20:40Z</dcterms:modified>
</cp:coreProperties>
</file>
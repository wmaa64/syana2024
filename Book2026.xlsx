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7C33281B-E2D3-4953-B6A5-AEAA6475DF62}" xr6:coauthVersionLast="47" xr6:coauthVersionMax="47" xr10:uidLastSave="{00000000-0000-0000-0000-000000000000}"/>
  <bookViews>
    <workbookView xWindow="-120" yWindow="-120" windowWidth="20730" windowHeight="11160" tabRatio="947" firstSheet="12" activeTab="12"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<sst xmlns="http://schemas.openxmlformats.org/spreadsheetml/2006/main" count="836" uniqueCount="292">
  <si>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</si>
  <si>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</si>
  <si>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</si>
  <si>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</si>
  <si>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</si>
  <si>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</si>
  <si>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</si>
  <si>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</si>
  <si>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</si>
  <si>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</si>
  <si>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</si>
  <si>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</si>
  <si>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</si>
  <si>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</si>
  <si>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</si>
  <si>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</si>
  <si>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</si>
  <si>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</si>
  <si>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</si>
  <si>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</si>
  <si>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</si>
  <si>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</si>
  <si>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</si>
  <si>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</si>
  <si>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</si>
  <si>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</si>
  <si>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</si>
  <si>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</si>
  <si>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</si>
  <si>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</si>
  <si>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</si>
  <si>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</si>
  <si>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</si>
  <si>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</si>
  <si>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</si>
  <si>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</si>
  <si>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</si>
  <si>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</si>
  <si>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</si>
  <si>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</si>
  <si>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</si>
  <si>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</si>
  <si>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</si>
  <si>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</si>
  <si>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</si>
  <si>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</si>
  <si>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</si>
  <si>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</si>
  <si>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</si>
  <si>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</si>
  <si>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</si>
  <si>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</si>
  <si>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</si>
  <si>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</si>
  <si>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</si>
  <si>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</si>
  <si>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</si>
  <si>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</si>
  <si>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</si>
  <si>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</si>
  <si>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</si>
  <si>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</si>
  <si>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</si>
  <si>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</si>
  <si>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</si>
  <si>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</si>
  <si>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</si>
  <si>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</si>
  <si>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</si>
  <si>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</si>
  <si>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</si>
  <si>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</si>
  <si>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</si>
  <si>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</si>
  <si>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</si>
  <si>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</si>
  <si>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</si>
  <si>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</si>
  <si>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</si>
  <si>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</si>
  <si>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</si>
  <si>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</si>
  <si>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</si>
  <si>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</si>
  <si>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</si>
  <si>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</si>
  <si>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</si>
  <si>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</si>
  <si>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</si>
  <si>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</si>
  <si>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</si>
  <si>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</si>
  <si>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</si>
  <si>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</si>
  <si>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</si>
  <si>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</si>
  <si>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</si>
  <si>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</si>
  <si>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</si>
  <si>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</si>
  <si>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</si>
  <si>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</si>
  <si>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</si>
  <si>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</si>
  <si>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</si>
  <si>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</si>
  <si>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</si>
  <si>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</si>
  <si>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</si>
  <si>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</si>
  <si>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</si>
  <si>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</si>
  <si>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</si>
  <si>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</si>
  <si>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</si>
  <si>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</si>
  <si>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</si>
  <si>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</si>
  <si>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</si>
  <si>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</si>
  <si>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</si>
  <si>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</si>
  <si>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</si>
  <si>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</si>
  <si>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</si>
  <si>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</si>
  <si>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</si>
  <si>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</si>
  <si>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</si>
  <si>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</si>
  <si>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</si>
  <si>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</si>
  <si>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</si>
  <si>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</si>
  <si>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</si>
  <si>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</si>
  <si>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</si>
  <si>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</si>
  <si>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</si>
  <si>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</si>
  <si>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</si>
  <si>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</si>
  <si>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</si>
  <si>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</si>
  <si>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</si>
  <si>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</si>
  <si>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</si>
  <si>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</si>
  <si>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</si>
  <si>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</si>
  <si>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</si>
  <si>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</si>
  <si>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</si>
  <si>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</si>
  <si>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</si>
  <si>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</si>
  <si>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</si>
  <si>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</si>
  <si>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</si>
  <si>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</si>
  <si>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</si>
  <si>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</si>
  <si>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</si>
  <si>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</si>
  <si>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</si>
  <si>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</si>
  <si>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</si>
  <si>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</si>
  <si>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</si>
  <si>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</si>
  <si>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</si>
  <si>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</si>
  <si>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</si>
  <si>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</si>
  <si>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</si>
  <si>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</si>
  <si>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</si>
  <si>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</si>
  <si>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</si>
  <si>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</si>
  <si>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</si>
  <si>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</si>
  <si>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</si>
  <si>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</si>
  <si>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</si>
  <si>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</si>
  <si>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</si>
  <si>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</si>
  <si>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</si>
  <si>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</si>
  <si>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</si>
  <si>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</si>
  <si>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</si>
  <si>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</si>
  <si>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</si>
  <si>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</si>
  <si>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</si>
  <si>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</si>
  <si>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</si>
  <si>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</si>
  <si>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</si>
  <si>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</si>
  <si>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</si>
  <si>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</si>
  <si>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</si>
  <si>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</si>
  <si>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</si>
  <si>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</si>
  <si>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</si>
  <si>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</si>
  <si>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</si>
  <si>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</si>
  <si>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</si>
  <si>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</si>
  <si>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</si>
  <si>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</si>
  <si>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</si>
  <si>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</si>
  <si>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</si>
  <si>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</si>
  <si>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</si>
  <si>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</si>
  <si>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</si>
  <si>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</si>
  <si>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</si>
  <si>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</si>
  <si>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</si>
  <si>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</si>
  <si>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</si>
  <si>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</si>
  <si>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</si>
  <si>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</si>
  <si>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</si>
  <si>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</si>
  <si>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</si>
  <si>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</si>
  <si>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</si>
  <si>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</si>
  <si>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</si>
  <si>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</si>
  <si>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</si>
  <si>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</si>
  <si>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</si>
  <si>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</si>
  <si>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</si>
  <si>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</si>
  <si>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</si>
  <si>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</si>
  <si>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</si>
  <si>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</si>
  <si>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</si>
  <si>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</si>
  <si>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</si>
  <si>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</si>
  <si>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</si>
  <si>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</si>
  <si>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</si>
  <si>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</si>
  <si>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</si>
  <si>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</si>
  <si>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</si>
  <si>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</si>
  <si>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</si>
  <si>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</si>
  <si>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</si>
  <si>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</si>
  <si>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</si>
  <si>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</si>
  <si>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</si>
  <si>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</si>
  <si>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</si>
  <si>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</si>
  <si>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</si>
  <si>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</si>
  <si>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</si>
  <si>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</si>
  <si>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</si>
  <si>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</si>
  <si>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</si>
  <si>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</si>
  <si>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</si>
  <si>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</si>
  <si>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</si>
  <si>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</si>
  <si>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</si>
  <si>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</si>
  <si>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</si>
  <si>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</si>
  <si>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</si>
  <si>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</si>
  <si>
    <t>تحت حساب صيانة شهر يونيه / 2026</t>
  </si>
  <si>
    <t>تحت حساب كهرباء شهر يونيه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</si>
</sst>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0</v>
      </c>
      <c r="N10" s="26">
        <f>Apartment12!D10</f>
        <v>250</v>
      </c>
      <c r="O10" s="26">
        <f>Apartment13!D10</f>
        <v>150</v>
      </c>
      <c r="P10" s="26">
        <f>Apartment14!D10</f>
        <v>150</v>
      </c>
    </row>
    <row r="11" spans="1:20" ht="23.25" x14ac:dyDescent="0.35">
      <c r="A11" s="8"/>
      <c r="B11" s="25">
        <v>6</v>
      </c>
      <c r="C11" s="26">
        <f>Apartment1!D11</f>
        <v>0</v>
      </c>
      <c r="D11" s="26">
        <f>Apartment2!D11</f>
        <v>150</v>
      </c>
      <c r="E11" s="26">
        <f>Apartment3!D11</f>
        <v>150</v>
      </c>
      <c r="F11" s="26">
        <f>Apartment4!D11</f>
        <v>150</v>
      </c>
      <c r="G11" s="26">
        <f>Apartment5!D11</f>
        <v>0</v>
      </c>
      <c r="H11" s="26">
        <f>Apartment6!D11</f>
        <v>300</v>
      </c>
      <c r="I11" s="26">
        <f>Apartment7!D11</f>
        <v>300</v>
      </c>
      <c r="J11" s="26">
        <f>Apartment8!D11</f>
        <v>300</v>
      </c>
      <c r="K11" s="26">
        <f>Apartment9!D11</f>
        <v>150</v>
      </c>
      <c r="L11" s="26">
        <f>Apartment10!D11</f>
        <v>150</v>
      </c>
      <c r="M11" s="26">
        <f>Apartment11!D11</f>
        <v>0</v>
      </c>
      <c r="N11" s="26">
        <f>Apartment12!D11</f>
        <v>250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750</v>
      </c>
      <c r="D5" s="92"/>
      <c r="E5" s="94">
        <f>D5-C5</f>
        <v>-750</v>
      </c>
      <c r="F5" s="2" t="s">
        <v>50</v>
      </c>
      <c r="G5" s="91"/>
      <c r="H5" s="92"/>
      <c r="I5" s="94">
        <f>H5-G5</f>
        <v>0</v>
      </c>
      <c r="J5" s="2"/>
    </row>
    <row r="6" spans="1:14" ht="18" x14ac:dyDescent="0.25">
      <c r="A6" s="8">
        <v>2</v>
      </c>
      <c r="B6" s="20">
        <v>2</v>
      </c>
      <c r="C6" s="91">
        <f>Apartment2!D4</f>
        <v>525</v>
      </c>
      <c r="D6" s="92"/>
      <c r="E6" s="94">
        <f t="shared" ref="E6:E18" si="0">D6-C6</f>
        <v>-525</v>
      </c>
      <c r="F6" s="2" t="s">
        <v>51</v>
      </c>
      <c r="G6" s="91"/>
      <c r="H6" s="92"/>
      <c r="I6" s="94">
        <f t="shared" ref="I6:I18" si="1">H6-G6</f>
        <v>0</v>
      </c>
      <c r="J6" s="2"/>
    </row>
    <row r="7" spans="1:14" ht="18" x14ac:dyDescent="0.25">
      <c r="A7" s="8">
        <v>3</v>
      </c>
      <c r="B7" s="20">
        <v>3</v>
      </c>
      <c r="C7" s="91">
        <f>Apartment3!D4</f>
        <v>900</v>
      </c>
      <c r="D7" s="92"/>
      <c r="E7" s="94">
        <f t="shared" si="0"/>
        <v>-900</v>
      </c>
      <c r="F7" s="2" t="s">
        <v>48</v>
      </c>
      <c r="G7" s="91"/>
      <c r="H7" s="92"/>
      <c r="I7" s="94">
        <f t="shared" si="1"/>
        <v>0</v>
      </c>
      <c r="J7" s="2"/>
    </row>
    <row r="8" spans="1:14" ht="18" x14ac:dyDescent="0.25">
      <c r="A8" s="8">
        <v>4</v>
      </c>
      <c r="B8" s="20">
        <v>4</v>
      </c>
      <c r="C8" s="91">
        <f>Apartment4!D4</f>
        <v>900</v>
      </c>
      <c r="D8" s="92"/>
      <c r="E8" s="94">
        <f t="shared" si="0"/>
        <v>-900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1800</v>
      </c>
      <c r="D11" s="92"/>
      <c r="E11" s="94">
        <f t="shared" si="0"/>
        <v>-1800</v>
      </c>
      <c r="F11" s="2" t="s">
        <v>48</v>
      </c>
      <c r="G11" s="91"/>
      <c r="H11" s="92"/>
      <c r="I11" s="94">
        <f t="shared" si="1"/>
        <v>0</v>
      </c>
      <c r="J11" s="2"/>
    </row>
    <row r="12" spans="1:14" ht="18" x14ac:dyDescent="0.25">
      <c r="A12" s="8">
        <v>8</v>
      </c>
      <c r="B12" s="20">
        <v>8</v>
      </c>
      <c r="C12" s="91">
        <f>Apartment8!D4</f>
        <v>1800</v>
      </c>
      <c r="D12" s="92"/>
      <c r="E12" s="94">
        <f t="shared" si="0"/>
        <v>-1800</v>
      </c>
      <c r="F12" s="2" t="s">
        <v>120</v>
      </c>
      <c r="G12" s="91"/>
      <c r="H12" s="92"/>
      <c r="I12" s="94">
        <f t="shared" si="1"/>
        <v>0</v>
      </c>
      <c r="J12" s="2"/>
    </row>
    <row r="13" spans="1:14" ht="18" x14ac:dyDescent="0.25">
      <c r="A13" s="8">
        <v>9</v>
      </c>
      <c r="B13" s="20">
        <v>9</v>
      </c>
      <c r="C13" s="91">
        <f>Apartment9!D4</f>
        <v>900</v>
      </c>
      <c r="D13" s="92"/>
      <c r="E13" s="94">
        <f t="shared" si="0"/>
        <v>-900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675</v>
      </c>
      <c r="D17" s="92"/>
      <c r="E17" s="94">
        <f t="shared" si="0"/>
        <v>-675</v>
      </c>
      <c r="F17" s="2" t="s">
        <v>56</v>
      </c>
      <c r="G17" s="91"/>
      <c r="H17" s="92"/>
      <c r="I17" s="94">
        <f t="shared" si="1"/>
        <v>0</v>
      </c>
      <c r="J17" s="2"/>
    </row>
    <row r="18" spans="1:10" ht="18" x14ac:dyDescent="0.25">
      <c r="A18" s="8">
        <v>14</v>
      </c>
      <c r="B18" s="20">
        <v>14</v>
      </c>
      <c r="C18" s="91">
        <f>Apartment14!D4</f>
        <v>675</v>
      </c>
      <c r="D18" s="92"/>
      <c r="E18" s="94">
        <f t="shared" si="0"/>
        <v>-675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11" sqref="D11"/>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12" sqref="C12"/>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1500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v>46186</v>
      </c>
      <c r="D11" s="33">
        <v>250</v>
      </c>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0" sqref="C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675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12" sqref="C12"/>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900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abSelected="1" topLeftCell="A4" workbookViewId="0">
      <selection activeCell="C12" sqref="C12"/>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1800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46190</v>
      </c>
      <c r="D11" s="33">
        <v>300</v>
      </c>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13" sqref="D13"/>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1800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C12" sqref="C12"/>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900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C12" sqref="C12"/>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900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4" workbookViewId="0">
      <selection activeCell="D12" sqref="D12"/>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525</v>
      </c>
      <c r="E4" s="11"/>
      <c r="F4" s="83">
        <f>SUM(F6:F2001)</f>
        <v>1425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150</v>
      </c>
      <c r="E11" s="8"/>
      <c r="F11" s="33">
        <v>150</v>
      </c>
      <c r="G11" s="8" t="s">
        <v>227</v>
      </c>
      <c r="H11" s="2"/>
      <c r="I11" s="2"/>
      <c r="J11" s="2"/>
      <c r="K11" s="2"/>
      <c r="L11" s="2"/>
      <c r="M11" s="2"/>
    </row>
    <row r="12" spans="1:17" ht="18" x14ac:dyDescent="0.25">
      <c r="A12" s="33">
        <v>7</v>
      </c>
      <c r="B12" s="33">
        <v>7</v>
      </c>
      <c r="C12" s="77">
        <v>46266</v>
      </c>
      <c r="D12" s="8"/>
      <c r="E12" s="8"/>
      <c r="F12" s="33">
        <v>150</v>
      </c>
      <c r="G12" s="8" t="s">
        <v>231</v>
      </c>
      <c r="H12" s="2"/>
      <c r="I12" s="2"/>
      <c r="J12" s="2"/>
      <c r="K12" s="2"/>
      <c r="L12" s="2"/>
      <c r="M12" s="2"/>
    </row>
    <row r="13" spans="1:17" ht="18" x14ac:dyDescent="0.25">
      <c r="A13" s="33">
        <v>8</v>
      </c>
      <c r="B13" s="33">
        <v>8</v>
      </c>
      <c r="C13" s="77">
        <v>46266</v>
      </c>
      <c r="D13" s="8"/>
      <c r="E13" s="8"/>
      <c r="F13" s="33">
        <v>150</v>
      </c>
      <c r="G13" s="8" t="s">
        <v>232</v>
      </c>
      <c r="H13" s="2"/>
      <c r="I13" s="2"/>
      <c r="J13" s="2"/>
      <c r="K13" s="2"/>
      <c r="L13" s="2"/>
      <c r="M13" s="2"/>
    </row>
    <row r="14" spans="1:17" ht="18" x14ac:dyDescent="0.25">
      <c r="A14" s="33">
        <v>9</v>
      </c>
      <c r="B14" s="33">
        <v>9</v>
      </c>
      <c r="C14" s="77">
        <v>46299</v>
      </c>
      <c r="D14" s="8"/>
      <c r="E14" s="8"/>
      <c r="F14" s="33">
        <v>150</v>
      </c>
      <c r="G14" s="8" t="s">
        <v>233</v>
      </c>
      <c r="H14" s="2"/>
      <c r="I14" s="2"/>
      <c r="J14" s="2"/>
      <c r="K14" s="2"/>
      <c r="L14" s="2"/>
      <c r="M14" s="2"/>
    </row>
    <row r="15" spans="1:17" ht="18" x14ac:dyDescent="0.25">
      <c r="A15" s="33">
        <v>10</v>
      </c>
      <c r="B15" s="33">
        <v>10</v>
      </c>
      <c r="C15" s="77">
        <v>46299</v>
      </c>
      <c r="D15" s="8"/>
      <c r="E15" s="8"/>
      <c r="F15" s="33">
        <v>150</v>
      </c>
      <c r="G15" s="8" t="s">
        <v>234</v>
      </c>
      <c r="H15" s="2"/>
      <c r="I15" s="2"/>
      <c r="J15" s="2"/>
      <c r="K15" s="2"/>
      <c r="L15" s="2"/>
      <c r="M15" s="2"/>
    </row>
    <row r="16" spans="1:17" ht="18" x14ac:dyDescent="0.25">
      <c r="A16" s="33">
        <v>11</v>
      </c>
      <c r="B16" s="33">
        <v>11</v>
      </c>
      <c r="C16" s="77">
        <v>46350</v>
      </c>
      <c r="D16" s="8"/>
      <c r="E16" s="8"/>
      <c r="F16" s="33">
        <v>150</v>
      </c>
      <c r="G16" s="8" t="s">
        <v>235</v>
      </c>
      <c r="H16" s="2"/>
      <c r="I16" s="2"/>
      <c r="J16" s="2"/>
      <c r="K16" s="2"/>
      <c r="L16" s="2"/>
      <c r="M16" s="2"/>
    </row>
    <row r="17" spans="1:13" ht="18" x14ac:dyDescent="0.25">
      <c r="A17" s="33">
        <v>12</v>
      </c>
      <c r="B17" s="33">
        <v>12</v>
      </c>
      <c r="C17" s="77">
        <v>46350</v>
      </c>
      <c r="D17" s="8"/>
      <c r="E17" s="8"/>
      <c r="F17" s="33">
        <v>150</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750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43" workbookViewId="0">
      <selection activeCell="B58" sqref="B58"/>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12911</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150</v>
      </c>
      <c r="E54" s="8" t="s">
        <v>160</v>
      </c>
      <c r="F54" s="8">
        <v>2</v>
      </c>
      <c r="G54" s="8" t="s">
        <v>290</v>
      </c>
    </row>
    <row r="55" spans="1:11" ht="18" x14ac:dyDescent="0.25">
      <c r="A55" s="8">
        <v>50</v>
      </c>
      <c r="B55" s="51">
        <v>46164</v>
      </c>
      <c r="C55" s="55">
        <v>58</v>
      </c>
      <c r="D55" s="8"/>
      <c r="E55" s="8" t="s">
        <v>260</v>
      </c>
      <c r="F55" s="8"/>
      <c r="G55" s="8" t="s">
        <v>289</v>
      </c>
    </row>
    <row r="56" spans="1:11" ht="18" x14ac:dyDescent="0.25">
      <c r="A56" s="8">
        <v>51</v>
      </c>
      <c r="B56" s="51">
        <v>46185</v>
      </c>
      <c r="C56" s="55">
        <v>250</v>
      </c>
      <c r="D56" s="8"/>
      <c r="E56" s="8" t="s">
        <v>142</v>
      </c>
      <c r="F56" s="8">
        <v>12</v>
      </c>
      <c r="G56" s="8" t="s">
        <v>281</v>
      </c>
    </row>
    <row r="57" spans="1:11" ht="18" x14ac:dyDescent="0.25">
      <c r="A57" s="8">
        <v>52</v>
      </c>
      <c r="B57" s="51">
        <v>46190</v>
      </c>
      <c r="C57" s="55">
        <v>300</v>
      </c>
      <c r="D57" s="8"/>
      <c r="E57" s="8" t="s">
        <v>249</v>
      </c>
      <c r="F57" s="8">
        <v>8</v>
      </c>
      <c r="G57" s="8" t="s">
        <v>288</v>
      </c>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12911</v>
      </c>
      <c r="D5" s="71">
        <f>outcomes!C3</f>
        <v>15410</v>
      </c>
      <c r="E5" s="72">
        <f>(C3+C5)-D5</f>
        <v>11403</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23" workbookViewId="0">
      <selection activeCell="B41" sqref="B41"/>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15410</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v>46189</v>
      </c>
      <c r="C33" s="55">
        <v>238</v>
      </c>
      <c r="D33" s="8" t="s">
        <v>291</v>
      </c>
      <c r="E33" s="2"/>
      <c r="F33" s="2"/>
      <c r="G33" s="2"/>
      <c r="H33" s="2"/>
      <c r="I33" s="2"/>
      <c r="J33" s="2"/>
      <c r="T33" t="s">
        <v>151</v>
      </c>
    </row>
    <row r="34" spans="1:20" ht="18" x14ac:dyDescent="0.25">
      <c r="A34" s="33">
        <v>30</v>
      </c>
      <c r="B34" s="60">
        <v>46189</v>
      </c>
      <c r="C34" s="55">
        <v>5</v>
      </c>
      <c r="D34" s="8" t="s">
        <v>275</v>
      </c>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2026-06-18T05:54:56Z</dcterms:modified>
</cp:coreProperties>
</file>
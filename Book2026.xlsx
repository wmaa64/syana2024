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53538664-C9DC-4F6A-83F0-CA8523F5E0F5}" xr6:coauthVersionLast="47" xr6:coauthVersionMax="47" xr10:uidLastSave="{00000000-0000-0000-0000-000000000000}"/>
  <bookViews>
    <workbookView xWindow="-120" yWindow="-120" windowWidth="20730" windowHeight="11160" tabRatio="947" firstSheet="11"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<sst xmlns="http://schemas.openxmlformats.org/spreadsheetml/2006/main" count="774" uniqueCount="269">
  <si>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</si>
  <si>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</si>
  <si>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</si>
  <si>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</si>
  <si>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</si>
  <si>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</si>
  <si>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</si>
  <si>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</si>
  <si>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</si>
  <si>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</si>
  <si>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</si>
  <si>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</si>
  <si>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</si>
  <si>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</si>
  <si>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</si>
  <si>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</si>
  <si>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</si>
  <si>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</si>
  <si>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</si>
  <si>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</si>
  <si>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</si>
  <si>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</si>
  <si>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</si>
  <si>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</si>
  <si>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</si>
  <si>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</si>
  <si>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</si>
  <si>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</si>
  <si>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</si>
  <si>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</si>
  <si>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</si>
  <si>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</si>
  <si>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</si>
  <si>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</si>
  <si>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</si>
  <si>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</si>
  <si>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</si>
  <si>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</si>
  <si>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</si>
  <si>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</si>
  <si>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</si>
  <si>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</si>
  <si>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</si>
  <si>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</si>
  <si>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</si>
  <si>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</si>
  <si>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</si>
  <si>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</si>
  <si>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</si>
  <si>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</si>
  <si>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</si>
  <si>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</si>
  <si>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</si>
  <si>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</si>
  <si>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</si>
  <si>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</si>
  <si>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</si>
  <si>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</si>
  <si>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</si>
  <si>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</si>
  <si>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</si>
  <si>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</si>
  <si>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</si>
  <si>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</si>
  <si>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</si>
  <si>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</si>
  <si>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</si>
  <si>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</si>
  <si>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</si>
  <si>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</si>
  <si>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</si>
  <si>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</si>
  <si>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</si>
  <si>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</si>
  <si>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</si>
  <si>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</si>
  <si>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</si>
  <si>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</si>
  <si>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</si>
  <si>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</si>
  <si>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</si>
  <si>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</si>
  <si>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</si>
  <si>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</si>
  <si>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</si>
  <si>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</si>
  <si>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</si>
  <si>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</si>
  <si>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</si>
  <si>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</si>
  <si>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</si>
  <si>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</si>
  <si>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</si>
  <si>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</si>
  <si>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</si>
  <si>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</si>
  <si>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</si>
  <si>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</si>
  <si>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</si>
  <si>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</si>
  <si>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</si>
  <si>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</si>
  <si>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</si>
  <si>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</si>
  <si>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</si>
  <si>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</si>
  <si>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</si>
  <si>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</si>
  <si>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</si>
  <si>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</si>
  <si>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</si>
  <si>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</si>
  <si>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</si>
  <si>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</si>
  <si>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</si>
  <si>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</si>
  <si>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</si>
  <si>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</si>
  <si>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</si>
  <si>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</si>
  <si>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</si>
  <si>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</si>
  <si>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</si>
  <si>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</si>
  <si>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</si>
  <si>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</si>
  <si>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</si>
  <si>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</si>
  <si>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</si>
  <si>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</si>
  <si>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</si>
  <si>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</si>
  <si>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</si>
  <si>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</si>
  <si>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</si>
  <si>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</si>
  <si>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</si>
  <si>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</si>
  <si>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</si>
  <si>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</si>
  <si>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</si>
  <si>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</si>
  <si>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</si>
  <si>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</si>
  <si>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</si>
  <si>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</si>
  <si>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</si>
  <si>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</si>
  <si>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</si>
  <si>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</si>
  <si>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</si>
  <si>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</si>
  <si>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</si>
  <si>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</si>
  <si>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</si>
  <si>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</si>
  <si>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</si>
  <si>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</si>
  <si>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</si>
  <si>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</si>
  <si>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</si>
  <si>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</si>
  <si>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</si>
  <si>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</si>
  <si>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</si>
  <si>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</si>
  <si>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</si>
  <si>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</si>
  <si>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</si>
  <si>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</si>
  <si>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</si>
  <si>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</si>
  <si>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</si>
  <si>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</si>
  <si>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</si>
  <si>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</si>
  <si>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</si>
  <si>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</si>
  <si>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</si>
  <si>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</si>
  <si>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</si>
  <si>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</si>
  <si>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</si>
  <si>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</si>
  <si>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</si>
  <si>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</si>
  <si>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</si>
  <si>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</si>
  <si>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</si>
  <si>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</si>
  <si>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</si>
  <si>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</si>
  <si>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</si>
  <si>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</si>
  <si>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</si>
  <si>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</si>
  <si>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</si>
  <si>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</si>
  <si>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</si>
  <si>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</si>
  <si>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</si>
  <si>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</si>
  <si>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</si>
  <si>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</si>
  <si>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</si>
  <si>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</si>
  <si>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</si>
  <si>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</si>
  <si>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</si>
  <si>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</si>
  <si>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</si>
  <si>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</si>
  <si>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</si>
  <si>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</si>
  <si>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</si>
  <si>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</si>
  <si>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</si>
  <si>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</si>
  <si>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</si>
  <si>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</si>
  <si>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</si>
  <si>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</si>
  <si>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</si>
  <si>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</si>
  <si>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</si>
  <si>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</si>
  <si>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</si>
  <si>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</si>
  <si>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</si>
  <si>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</si>
  <si>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</si>
  <si>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</si>
  <si>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</si>
  <si>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</si>
  <si>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</si>
  <si>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</si>
  <si>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</si>
  <si>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</si>
  <si>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</si>
  <si>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</si>
  <si>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</si>
  <si>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</si>
  <si>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</si>
  <si>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</si>
  <si>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</si>
  <si>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</si>
  <si>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</si>
  <si>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</si>
  <si>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</si>
  <si>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</si>
  <si>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</si>
  <si>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</si>
  <si>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</si>
  <si>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فاتورة المياه عن شهر يناير /2025</t>
  </si>
  <si>
    <t>تحت حساب فاتورة المياه عن شهر فبراير /2025</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</si>
  <si>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</si>
  <si>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</si>
  <si>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</si>
  <si>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</si>
  <si>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</si>
  <si>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</si>
  <si>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</si>
  <si>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</si>
  <si>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</si>
  <si>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</si>
  <si>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</si>
  <si>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</si>
  <si>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</si>
  <si>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تحت حساب فاتورة المياه عن شهر مارس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</si>
</sst>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0</v>
      </c>
      <c r="P6" s="26">
        <f>Apartment14!D6</f>
        <v>0</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0</v>
      </c>
      <c r="P7" s="26">
        <f>Apartment14!D7</f>
        <v>0</v>
      </c>
    </row>
    <row r="8" spans="1:20" ht="23.25" x14ac:dyDescent="0.35">
      <c r="A8" s="8"/>
      <c r="B8" s="25">
        <v>3</v>
      </c>
      <c r="C8" s="26">
        <f>Apartment1!D8</f>
        <v>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0</v>
      </c>
      <c r="O8" s="26">
        <f>Apartment13!D8</f>
        <v>0</v>
      </c>
      <c r="P8" s="26">
        <f>Apartment14!D8</f>
        <v>0</v>
      </c>
    </row>
    <row r="9" spans="1:20" ht="23.25" x14ac:dyDescent="0.35">
      <c r="A9" s="8"/>
      <c r="B9" s="25">
        <v>4</v>
      </c>
      <c r="C9" s="26">
        <f>Apartment1!D9</f>
        <v>0</v>
      </c>
      <c r="D9" s="26">
        <f>Apartment2!D9</f>
        <v>0</v>
      </c>
      <c r="E9" s="26">
        <f>Apartment3!D9</f>
        <v>150</v>
      </c>
      <c r="F9" s="26">
        <f>Apartment4!D9</f>
        <v>150</v>
      </c>
      <c r="G9" s="26">
        <f>Apartment5!D9</f>
        <v>0</v>
      </c>
      <c r="H9" s="26">
        <f>Apartment6!D9</f>
        <v>300</v>
      </c>
      <c r="I9" s="26">
        <f>Apartment7!D9</f>
        <v>300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300</v>
      </c>
      <c r="D5" s="92"/>
      <c r="E5" s="94">
        <f>D5-C5</f>
        <v>-300</v>
      </c>
      <c r="F5" s="2" t="s">
        <v>50</v>
      </c>
      <c r="G5" s="91"/>
      <c r="H5" s="92"/>
      <c r="I5" s="94">
        <f>H5-G5</f>
        <v>0</v>
      </c>
      <c r="J5" s="2"/>
    </row>
    <row r="6" spans="1:14" ht="18" x14ac:dyDescent="0.25">
      <c r="A6" s="8">
        <v>2</v>
      </c>
      <c r="B6" s="20">
        <v>2</v>
      </c>
      <c r="C6" s="91">
        <f>Apartment2!D4</f>
        <v>225</v>
      </c>
      <c r="D6" s="92"/>
      <c r="E6" s="94">
        <f t="shared" ref="E6:E18" si="0">D6-C6</f>
        <v>-225</v>
      </c>
      <c r="F6" s="2" t="s">
        <v>51</v>
      </c>
      <c r="G6" s="91"/>
      <c r="H6" s="92"/>
      <c r="I6" s="94">
        <f t="shared" ref="I6:I18" si="1">H6-G6</f>
        <v>0</v>
      </c>
      <c r="J6" s="2"/>
    </row>
    <row r="7" spans="1:14" ht="18" x14ac:dyDescent="0.25">
      <c r="A7" s="8">
        <v>3</v>
      </c>
      <c r="B7" s="20">
        <v>3</v>
      </c>
      <c r="C7" s="91">
        <f>Apartment3!D4</f>
        <v>600</v>
      </c>
      <c r="D7" s="92"/>
      <c r="E7" s="94">
        <f t="shared" si="0"/>
        <v>-600</v>
      </c>
      <c r="F7" s="2" t="s">
        <v>48</v>
      </c>
      <c r="G7" s="91"/>
      <c r="H7" s="92"/>
      <c r="I7" s="94">
        <f t="shared" si="1"/>
        <v>0</v>
      </c>
      <c r="J7" s="2"/>
    </row>
    <row r="8" spans="1:14" ht="18" x14ac:dyDescent="0.25">
      <c r="A8" s="8">
        <v>4</v>
      </c>
      <c r="B8" s="20">
        <v>4</v>
      </c>
      <c r="C8" s="91">
        <f>Apartment4!D4</f>
        <v>600</v>
      </c>
      <c r="D8" s="92"/>
      <c r="E8" s="94">
        <f t="shared" si="0"/>
        <v>-600</v>
      </c>
      <c r="F8" s="2" t="s">
        <v>48</v>
      </c>
      <c r="G8" s="91"/>
      <c r="H8" s="92"/>
      <c r="I8" s="94">
        <f t="shared" si="1"/>
        <v>0</v>
      </c>
      <c r="J8" s="2"/>
    </row>
    <row r="9" spans="1:14" ht="18" x14ac:dyDescent="0.25">
      <c r="A9" s="8">
        <v>5</v>
      </c>
      <c r="B9" s="20">
        <v>5</v>
      </c>
      <c r="C9" s="91">
        <f>Apartment5!D4</f>
        <v>900</v>
      </c>
      <c r="D9" s="92"/>
      <c r="E9" s="94">
        <f t="shared" si="0"/>
        <v>-900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1200</v>
      </c>
      <c r="D11" s="92"/>
      <c r="E11" s="94">
        <f t="shared" si="0"/>
        <v>-1200</v>
      </c>
      <c r="F11" s="2" t="s">
        <v>48</v>
      </c>
      <c r="G11" s="91"/>
      <c r="H11" s="92"/>
      <c r="I11" s="94">
        <f t="shared" si="1"/>
        <v>0</v>
      </c>
      <c r="J11" s="2"/>
    </row>
    <row r="12" spans="1:14" ht="18" x14ac:dyDescent="0.25">
      <c r="A12" s="8">
        <v>8</v>
      </c>
      <c r="B12" s="20">
        <v>8</v>
      </c>
      <c r="C12" s="91">
        <f>Apartment8!D4</f>
        <v>900</v>
      </c>
      <c r="D12" s="92"/>
      <c r="E12" s="94">
        <f t="shared" si="0"/>
        <v>-900</v>
      </c>
      <c r="F12" s="2" t="s">
        <v>120</v>
      </c>
      <c r="G12" s="91"/>
      <c r="H12" s="92"/>
      <c r="I12" s="94">
        <f t="shared" si="1"/>
        <v>0</v>
      </c>
      <c r="J12" s="2"/>
    </row>
    <row r="13" spans="1:14" ht="18" x14ac:dyDescent="0.25">
      <c r="A13" s="8">
        <v>9</v>
      </c>
      <c r="B13" s="20">
        <v>9</v>
      </c>
      <c r="C13" s="91">
        <f>Apartment9!D4</f>
        <v>450</v>
      </c>
      <c r="D13" s="92"/>
      <c r="E13" s="94">
        <f t="shared" si="0"/>
        <v>-450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0</v>
      </c>
      <c r="D17" s="92"/>
      <c r="E17" s="94">
        <f t="shared" si="0"/>
        <v>0</v>
      </c>
      <c r="F17" s="2" t="s">
        <v>56</v>
      </c>
      <c r="G17" s="91"/>
      <c r="H17" s="92"/>
      <c r="I17" s="94">
        <f t="shared" si="1"/>
        <v>0</v>
      </c>
      <c r="J17" s="2"/>
    </row>
    <row r="18" spans="1:10" ht="18" x14ac:dyDescent="0.25">
      <c r="A18" s="8">
        <v>14</v>
      </c>
      <c r="B18" s="20">
        <v>14</v>
      </c>
      <c r="C18" s="91">
        <f>Apartment14!D4</f>
        <v>0</v>
      </c>
      <c r="D18" s="92"/>
      <c r="E18" s="94">
        <f t="shared" si="0"/>
        <v>0</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6" sqref="D6:D17"/>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1500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c r="E6" s="8"/>
      <c r="F6" s="8">
        <v>125</v>
      </c>
      <c r="G6" s="8" t="s">
        <v>237</v>
      </c>
      <c r="H6" s="2"/>
      <c r="I6" s="2"/>
      <c r="J6" s="2"/>
      <c r="K6" s="2"/>
      <c r="L6" s="2"/>
      <c r="M6" s="2"/>
    </row>
    <row r="7" spans="1:17" ht="18" x14ac:dyDescent="0.25">
      <c r="A7" s="8">
        <v>2</v>
      </c>
      <c r="B7" s="8">
        <v>2</v>
      </c>
      <c r="C7" s="63">
        <v>46134</v>
      </c>
      <c r="D7" s="33"/>
      <c r="E7" s="8"/>
      <c r="F7" s="8">
        <v>125</v>
      </c>
      <c r="G7" s="8" t="s">
        <v>113</v>
      </c>
      <c r="H7" s="2"/>
      <c r="I7" s="2"/>
      <c r="J7" s="2"/>
      <c r="K7" s="2"/>
      <c r="L7" s="2"/>
      <c r="M7" s="2"/>
    </row>
    <row r="8" spans="1:17" ht="18" x14ac:dyDescent="0.25">
      <c r="A8" s="8">
        <v>3</v>
      </c>
      <c r="B8" s="8">
        <v>3</v>
      </c>
      <c r="C8" s="63">
        <v>46242</v>
      </c>
      <c r="D8" s="33"/>
      <c r="E8" s="8"/>
      <c r="F8" s="8">
        <v>125</v>
      </c>
      <c r="G8" s="8" t="s">
        <v>100</v>
      </c>
      <c r="H8" s="2"/>
      <c r="I8" s="2"/>
      <c r="J8" s="2"/>
      <c r="K8" s="2"/>
      <c r="L8" s="2"/>
      <c r="M8" s="2"/>
    </row>
    <row r="9" spans="1:17" ht="18" x14ac:dyDescent="0.25">
      <c r="A9" s="8">
        <v>4</v>
      </c>
      <c r="B9" s="8">
        <v>4</v>
      </c>
      <c r="C9" s="63">
        <v>46242</v>
      </c>
      <c r="D9" s="33"/>
      <c r="E9" s="8"/>
      <c r="F9" s="8">
        <v>125</v>
      </c>
      <c r="G9" s="8" t="s">
        <v>101</v>
      </c>
      <c r="H9" s="2"/>
      <c r="I9" s="2"/>
      <c r="J9" s="2"/>
      <c r="K9" s="2"/>
      <c r="L9" s="2"/>
      <c r="M9" s="2"/>
    </row>
    <row r="10" spans="1:17" ht="18" x14ac:dyDescent="0.25">
      <c r="A10" s="8">
        <v>5</v>
      </c>
      <c r="B10" s="8">
        <v>5</v>
      </c>
      <c r="C10" s="63">
        <v>46242</v>
      </c>
      <c r="D10" s="33"/>
      <c r="E10" s="8"/>
      <c r="F10" s="8">
        <v>125</v>
      </c>
      <c r="G10" s="8" t="s">
        <v>102</v>
      </c>
      <c r="H10" s="2"/>
      <c r="I10" s="2"/>
      <c r="J10" s="2"/>
      <c r="K10" s="2"/>
      <c r="L10" s="2"/>
      <c r="M10" s="2"/>
    </row>
    <row r="11" spans="1:17" ht="18" x14ac:dyDescent="0.25">
      <c r="A11" s="8">
        <v>6</v>
      </c>
      <c r="B11" s="8">
        <v>6</v>
      </c>
      <c r="C11" s="63">
        <v>46242</v>
      </c>
      <c r="D11" s="33"/>
      <c r="E11" s="8"/>
      <c r="F11" s="8">
        <v>125</v>
      </c>
      <c r="G11" s="8" t="s">
        <v>103</v>
      </c>
      <c r="H11" s="2"/>
      <c r="I11" s="2"/>
      <c r="J11" s="2"/>
      <c r="K11" s="2"/>
      <c r="L11" s="2"/>
      <c r="M11" s="2"/>
    </row>
    <row r="12" spans="1:17" ht="18" x14ac:dyDescent="0.25">
      <c r="A12" s="8">
        <v>7</v>
      </c>
      <c r="B12" s="8">
        <v>7</v>
      </c>
      <c r="C12" s="63">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3" ht="18" x14ac:dyDescent="0.25">
      <c r="A17" s="8">
        <v>12</v>
      </c>
      <c r="B17" s="8">
        <v>12</v>
      </c>
      <c r="C17" s="51">
        <v>46371</v>
      </c>
      <c r="D17" s="33"/>
      <c r="E17" s="8"/>
      <c r="F17" s="8">
        <v>125</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8" sqref="C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c r="D8" s="33"/>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11">
        <f>SUM(F6:F2001)</f>
        <v>1500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c r="E6" s="8"/>
      <c r="F6" s="8">
        <v>125</v>
      </c>
      <c r="G6" s="8" t="s">
        <v>112</v>
      </c>
      <c r="H6" s="2"/>
      <c r="I6" s="2"/>
      <c r="J6" s="2"/>
      <c r="K6" s="2"/>
      <c r="L6" s="2"/>
      <c r="M6" s="2"/>
    </row>
    <row r="7" spans="1:17" ht="18" x14ac:dyDescent="0.25">
      <c r="A7" s="8">
        <v>2</v>
      </c>
      <c r="B7" s="8">
        <v>2</v>
      </c>
      <c r="C7" s="51">
        <v>46134</v>
      </c>
      <c r="D7" s="33"/>
      <c r="E7" s="8"/>
      <c r="F7" s="8">
        <v>125</v>
      </c>
      <c r="G7" s="8" t="s">
        <v>113</v>
      </c>
      <c r="H7" s="2"/>
      <c r="I7" s="2"/>
      <c r="J7" s="2"/>
      <c r="K7" s="2"/>
      <c r="L7" s="2"/>
      <c r="M7" s="2"/>
    </row>
    <row r="8" spans="1:17" ht="18" x14ac:dyDescent="0.25">
      <c r="A8" s="8">
        <v>3</v>
      </c>
      <c r="B8" s="8">
        <v>3</v>
      </c>
      <c r="C8" s="51">
        <v>46242</v>
      </c>
      <c r="D8" s="33"/>
      <c r="E8" s="8"/>
      <c r="F8" s="8">
        <v>125</v>
      </c>
      <c r="G8" s="8" t="s">
        <v>100</v>
      </c>
      <c r="H8" s="2"/>
      <c r="I8" s="2"/>
      <c r="J8" s="2"/>
      <c r="K8" s="2"/>
      <c r="L8" s="2"/>
      <c r="M8" s="2"/>
    </row>
    <row r="9" spans="1:17" ht="18" x14ac:dyDescent="0.25">
      <c r="A9" s="8">
        <v>4</v>
      </c>
      <c r="B9" s="8">
        <v>4</v>
      </c>
      <c r="C9" s="51">
        <v>46242</v>
      </c>
      <c r="D9" s="33"/>
      <c r="E9" s="8"/>
      <c r="F9" s="8">
        <v>125</v>
      </c>
      <c r="G9" s="8" t="s">
        <v>101</v>
      </c>
      <c r="H9" s="2"/>
      <c r="I9" s="2"/>
      <c r="J9" s="2"/>
      <c r="K9" s="2"/>
      <c r="L9" s="2"/>
      <c r="M9" s="2"/>
    </row>
    <row r="10" spans="1:17" ht="18" x14ac:dyDescent="0.25">
      <c r="A10" s="8">
        <v>5</v>
      </c>
      <c r="B10" s="8">
        <v>5</v>
      </c>
      <c r="C10" s="51">
        <v>46242</v>
      </c>
      <c r="D10" s="33"/>
      <c r="E10" s="8"/>
      <c r="F10" s="8">
        <v>125</v>
      </c>
      <c r="G10" s="8" t="s">
        <v>102</v>
      </c>
      <c r="H10" s="2"/>
      <c r="I10" s="2"/>
      <c r="J10" s="2"/>
      <c r="K10" s="2"/>
      <c r="L10" s="2"/>
      <c r="M10" s="2"/>
    </row>
    <row r="11" spans="1:17" ht="18" x14ac:dyDescent="0.25">
      <c r="A11" s="8">
        <v>6</v>
      </c>
      <c r="B11" s="8">
        <v>6</v>
      </c>
      <c r="C11" s="51">
        <v>46242</v>
      </c>
      <c r="D11" s="33"/>
      <c r="E11" s="8"/>
      <c r="F11" s="8">
        <v>125</v>
      </c>
      <c r="G11" s="8" t="s">
        <v>103</v>
      </c>
      <c r="H11" s="2"/>
      <c r="I11" s="2"/>
      <c r="J11" s="2"/>
      <c r="K11" s="2"/>
      <c r="L11" s="2"/>
      <c r="M11" s="2"/>
    </row>
    <row r="12" spans="1:17" ht="18" x14ac:dyDescent="0.25">
      <c r="A12" s="8">
        <v>7</v>
      </c>
      <c r="B12" s="8">
        <v>7</v>
      </c>
      <c r="C12" s="51">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7" ht="18" x14ac:dyDescent="0.25">
      <c r="A17" s="8">
        <v>12</v>
      </c>
      <c r="B17" s="8">
        <v>12</v>
      </c>
      <c r="C17" s="51">
        <v>46371</v>
      </c>
      <c r="D17" s="33"/>
      <c r="E17" s="8"/>
      <c r="F17" s="8">
        <v>125</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7" sqref="C7:C8"/>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450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9" sqref="C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900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10" sqref="D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1200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E9" sqref="E9"/>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900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0" sqref="D10"/>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600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0" sqref="D10"/>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D6" sqref="D6"/>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225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46122</v>
      </c>
      <c r="D9" s="8"/>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5" workbookViewId="0">
      <selection activeCell="D8" sqref="D8"/>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300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46087</v>
      </c>
      <c r="D8" s="73"/>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17" workbookViewId="0">
      <selection activeCell="B34" sqref="B34"/>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6241</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260</v>
      </c>
      <c r="F25" s="8">
        <v>5</v>
      </c>
      <c r="G25" s="8" t="s">
        <v>261</v>
      </c>
      <c r="H25" s="2"/>
      <c r="I25" s="2"/>
      <c r="J25" s="2"/>
      <c r="K25" s="2"/>
      <c r="L25" s="2"/>
      <c r="M25" s="2"/>
    </row>
    <row r="26" spans="1:13" ht="18" x14ac:dyDescent="0.25">
      <c r="A26" s="8">
        <v>21</v>
      </c>
      <c r="B26" s="51">
        <v>46044</v>
      </c>
      <c r="C26" s="55">
        <v>58</v>
      </c>
      <c r="D26" s="8"/>
      <c r="E26" s="8" t="s">
        <v>262</v>
      </c>
      <c r="F26" s="8"/>
      <c r="G26" s="8" t="s">
        <v>263</v>
      </c>
      <c r="H26" s="2"/>
      <c r="I26" s="2"/>
      <c r="J26" s="2"/>
      <c r="K26" s="2"/>
      <c r="L26" s="2"/>
      <c r="M26" s="2"/>
    </row>
    <row r="27" spans="1:13" ht="18" x14ac:dyDescent="0.25">
      <c r="A27" s="8">
        <v>22</v>
      </c>
      <c r="B27" s="51">
        <v>46075</v>
      </c>
      <c r="C27" s="55">
        <v>58</v>
      </c>
      <c r="D27" s="8"/>
      <c r="E27" s="8" t="s">
        <v>262</v>
      </c>
      <c r="F27" s="8"/>
      <c r="G27" s="8" t="s">
        <v>264</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261</v>
      </c>
      <c r="H31" s="2"/>
      <c r="I31" s="2"/>
      <c r="J31" s="2"/>
      <c r="K31" s="2"/>
      <c r="L31" s="2"/>
      <c r="M31" s="2"/>
    </row>
    <row r="32" spans="1:13" ht="18" x14ac:dyDescent="0.25">
      <c r="A32" s="8">
        <v>27</v>
      </c>
      <c r="B32" s="51">
        <v>46092</v>
      </c>
      <c r="C32" s="55">
        <v>450</v>
      </c>
      <c r="E32" s="8" t="s">
        <v>184</v>
      </c>
      <c r="F32" s="8">
        <v>9</v>
      </c>
      <c r="G32" s="8" t="s">
        <v>261</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c r="C34" s="55"/>
      <c r="D34" s="8"/>
      <c r="E34" s="8"/>
      <c r="F34" s="8"/>
      <c r="G34" s="8"/>
      <c r="H34" s="2"/>
      <c r="I34" s="2"/>
      <c r="J34" s="2"/>
      <c r="K34" s="2"/>
      <c r="L34" s="2"/>
      <c r="M34" s="2"/>
    </row>
    <row r="35" spans="1:13" ht="18" x14ac:dyDescent="0.25">
      <c r="A35" s="8">
        <v>30</v>
      </c>
      <c r="B35" s="51"/>
      <c r="C35" s="55"/>
      <c r="D35" s="8"/>
      <c r="E35" s="8"/>
      <c r="F35" s="8"/>
      <c r="G35" s="8"/>
    </row>
    <row r="36" spans="1:13" ht="18" x14ac:dyDescent="0.25">
      <c r="A36" s="8">
        <v>31</v>
      </c>
      <c r="B36" s="51"/>
      <c r="C36" s="55"/>
      <c r="D36" s="8"/>
      <c r="E36" s="8"/>
      <c r="F36" s="8"/>
      <c r="G36" s="8"/>
    </row>
    <row r="37" spans="1:13" ht="18" x14ac:dyDescent="0.25">
      <c r="A37" s="8">
        <v>32</v>
      </c>
      <c r="B37" s="51"/>
      <c r="C37" s="55"/>
      <c r="D37" s="8"/>
      <c r="E37" s="8"/>
      <c r="F37" s="8"/>
      <c r="G37" s="8"/>
    </row>
    <row r="38" spans="1:13" ht="18" x14ac:dyDescent="0.25">
      <c r="A38" s="8">
        <v>33</v>
      </c>
      <c r="B38" s="51"/>
      <c r="C38" s="55"/>
      <c r="E38" s="8"/>
      <c r="F38" s="8"/>
      <c r="G38" s="8"/>
    </row>
    <row r="39" spans="1:13" ht="18" x14ac:dyDescent="0.25">
      <c r="A39" s="8">
        <v>34</v>
      </c>
      <c r="B39" s="51"/>
      <c r="C39" s="55"/>
      <c r="D39" s="8"/>
      <c r="E39" s="8"/>
      <c r="F39" s="8"/>
      <c r="G39" s="8"/>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6241</v>
      </c>
      <c r="D5" s="71">
        <f>outcomes!C3</f>
        <v>10104</v>
      </c>
      <c r="E5" s="72">
        <f>(C3+C5)-D5</f>
        <v>10039</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10" workbookViewId="0">
      <selection activeCell="B23" sqref="B23"/>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10104</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253</v>
      </c>
      <c r="S12">
        <v>1</v>
      </c>
    </row>
    <row r="13" spans="1:19" ht="18" x14ac:dyDescent="0.25">
      <c r="A13" s="33">
        <v>9</v>
      </c>
      <c r="B13" s="60">
        <v>46067</v>
      </c>
      <c r="C13" s="55">
        <v>930</v>
      </c>
      <c r="D13" s="8" t="s">
        <v>254</v>
      </c>
      <c r="S13">
        <v>4</v>
      </c>
    </row>
    <row r="14" spans="1:19" ht="18" x14ac:dyDescent="0.25">
      <c r="A14" s="33">
        <v>10</v>
      </c>
      <c r="B14" s="60">
        <v>46075</v>
      </c>
      <c r="C14" s="55">
        <v>683</v>
      </c>
      <c r="D14" s="8" t="s">
        <v>255</v>
      </c>
      <c r="S14">
        <v>1</v>
      </c>
    </row>
    <row r="15" spans="1:19" ht="18" x14ac:dyDescent="0.25">
      <c r="A15" s="33">
        <v>11</v>
      </c>
      <c r="B15" s="60">
        <v>46075</v>
      </c>
      <c r="C15" s="55">
        <v>3</v>
      </c>
      <c r="D15" s="8" t="s">
        <v>256</v>
      </c>
      <c r="E15" s="2"/>
      <c r="F15" s="2"/>
      <c r="G15" s="2"/>
      <c r="H15" s="2"/>
      <c r="I15" s="2"/>
      <c r="J15" s="2"/>
      <c r="S15">
        <v>6</v>
      </c>
    </row>
    <row r="16" spans="1:19" ht="18" x14ac:dyDescent="0.25">
      <c r="A16" s="33">
        <v>12</v>
      </c>
      <c r="B16" s="60">
        <v>46075</v>
      </c>
      <c r="C16" s="55">
        <v>20</v>
      </c>
      <c r="D16" s="8" t="s">
        <v>257</v>
      </c>
      <c r="S16">
        <v>6</v>
      </c>
    </row>
    <row r="17" spans="1:19" ht="18" x14ac:dyDescent="0.25">
      <c r="A17" s="33">
        <v>13</v>
      </c>
      <c r="B17" s="60">
        <v>46056</v>
      </c>
      <c r="C17" s="55">
        <v>400</v>
      </c>
      <c r="D17" s="8" t="s">
        <v>258</v>
      </c>
      <c r="E17" s="2"/>
      <c r="F17" s="2"/>
      <c r="G17" s="2"/>
      <c r="H17" s="2"/>
      <c r="I17" s="2"/>
      <c r="J17" s="2"/>
      <c r="S17">
        <v>1</v>
      </c>
    </row>
    <row r="18" spans="1:19" ht="18" x14ac:dyDescent="0.25">
      <c r="A18" s="33">
        <v>14</v>
      </c>
      <c r="B18" s="60">
        <v>46057</v>
      </c>
      <c r="C18" s="55">
        <v>1000</v>
      </c>
      <c r="D18" s="8" t="s">
        <v>267</v>
      </c>
      <c r="E18" s="2"/>
      <c r="F18" s="2"/>
      <c r="G18" s="2"/>
      <c r="H18" s="2"/>
      <c r="I18" s="2"/>
      <c r="J18" s="2"/>
      <c r="S18">
        <v>4</v>
      </c>
    </row>
    <row r="19" spans="1:19" ht="18" x14ac:dyDescent="0.25">
      <c r="A19" s="33">
        <v>15</v>
      </c>
      <c r="B19" s="60">
        <v>46057</v>
      </c>
      <c r="C19" s="55">
        <v>10</v>
      </c>
      <c r="D19" s="8" t="s">
        <v>259</v>
      </c>
      <c r="I19" s="2"/>
      <c r="J19" s="2"/>
      <c r="S19">
        <v>6</v>
      </c>
    </row>
    <row r="20" spans="1:19" ht="18" x14ac:dyDescent="0.25">
      <c r="A20" s="33">
        <v>16</v>
      </c>
      <c r="B20" s="60">
        <v>46091</v>
      </c>
      <c r="C20" s="55">
        <v>675</v>
      </c>
      <c r="D20" s="8" t="s">
        <v>265</v>
      </c>
      <c r="E20" s="2"/>
      <c r="F20" s="2"/>
      <c r="G20" s="2"/>
      <c r="H20" s="2"/>
      <c r="I20" s="2"/>
      <c r="J20" s="2"/>
      <c r="S20">
        <v>1</v>
      </c>
    </row>
    <row r="21" spans="1:19" ht="18" x14ac:dyDescent="0.25">
      <c r="A21" s="33">
        <v>17</v>
      </c>
      <c r="B21" s="60">
        <v>46092</v>
      </c>
      <c r="C21" s="55">
        <v>1650</v>
      </c>
      <c r="D21" s="8" t="s">
        <v>266</v>
      </c>
      <c r="E21" s="2"/>
      <c r="F21" s="2"/>
      <c r="G21" s="2"/>
      <c r="H21" s="2"/>
      <c r="I21" s="2"/>
      <c r="J21" s="2"/>
      <c r="S21">
        <v>1</v>
      </c>
    </row>
    <row r="22" spans="1:19" ht="18" x14ac:dyDescent="0.25">
      <c r="A22" s="33">
        <v>18</v>
      </c>
      <c r="B22" s="60">
        <v>46096</v>
      </c>
      <c r="C22" s="55">
        <v>1030</v>
      </c>
      <c r="D22" s="8" t="s">
        <v>268</v>
      </c>
      <c r="E22" s="2"/>
      <c r="F22" s="2"/>
      <c r="G22" s="2"/>
      <c r="H22" s="2"/>
      <c r="I22" s="2"/>
      <c r="J22" s="2"/>
      <c r="S22">
        <v>4</v>
      </c>
    </row>
    <row r="23" spans="1:19" ht="18" x14ac:dyDescent="0.25">
      <c r="A23" s="33">
        <v>19</v>
      </c>
      <c r="B23" s="60"/>
      <c r="C23" s="55"/>
      <c r="D23" s="8"/>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2026-03-16T13:23:13Z</dcterms:modified>
</cp:coreProperties>
</file>
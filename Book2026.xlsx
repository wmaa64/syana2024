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2009945-7713-4372-A028-5F6EC6B62C82}"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<sst xmlns="http://schemas.openxmlformats.org/spreadsheetml/2006/main" count="881" uniqueCount="312">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</sst>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7" t="s">
        <v>236</v>
      </c>
      <c r="G3" s="107"/>
      <c r="H3" s="107"/>
      <c r="I3" s="107"/>
      <c r="J3" s="107"/>
      <c r="K3" s="107"/>
      <c r="L3" s="107"/>
      <c r="M3" s="107"/>
      <c r="N3" s="107"/>
      <c r="O3" s="107"/>
      <c r="P3" s="107"/>
      <c r="Q3" s="107"/>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7" t="s">
        <v>188</v>
      </c>
      <c r="G3" s="107"/>
      <c r="H3" s="107"/>
      <c r="I3" s="107"/>
      <c r="J3" s="107"/>
      <c r="K3" s="107"/>
      <c r="L3" s="107"/>
      <c r="M3" s="107"/>
      <c r="N3" s="107"/>
      <c r="O3" s="107"/>
      <c r="P3" s="107"/>
      <c r="Q3" s="107"/>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8" t="s">
        <v>140</v>
      </c>
      <c r="D1" s="108"/>
      <c r="E1" s="108"/>
      <c r="F1" s="108"/>
      <c r="G1" s="108"/>
      <c r="H1" s="108"/>
      <c r="I1" s="108"/>
      <c r="J1" s="108"/>
      <c r="K1" s="108"/>
      <c r="L1" s="108"/>
      <c r="M1" s="108"/>
      <c r="N1" s="108"/>
      <c r="O1" s="108"/>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9" t="s">
        <v>94</v>
      </c>
      <c r="H3" s="109"/>
      <c r="I3" s="109"/>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825</v>
      </c>
      <c r="D6" s="92"/>
      <c r="E6" s="94">
        <f t="shared" ref="E6:E18" si="0">D6-C6</f>
        <v>-825</v>
      </c>
      <c r="F6" s="2" t="s">
        <v>51</v>
      </c>
      <c r="G6" s="91"/>
      <c r="H6" s="92"/>
      <c r="I6" s="94">
        <f t="shared" ref="I6:I18" si="1">H6-G6</f>
        <v>0</v>
      </c>
      <c r="J6" s="2"/>
    </row>
    <row r="7" spans="1:14" ht="18" x14ac:dyDescent="0.25">
      <c r="A7" s="8">
        <v>3</v>
      </c>
      <c r="B7" s="20">
        <v>3</v>
      </c>
      <c r="C7" s="91">
        <f>Apartment3!D4</f>
        <v>1200</v>
      </c>
      <c r="D7" s="92"/>
      <c r="E7" s="94">
        <f t="shared" si="0"/>
        <v>-1200</v>
      </c>
      <c r="F7" s="2" t="s">
        <v>48</v>
      </c>
      <c r="G7" s="91"/>
      <c r="H7" s="92"/>
      <c r="I7" s="94">
        <f t="shared" si="1"/>
        <v>0</v>
      </c>
      <c r="J7" s="2"/>
    </row>
    <row r="8" spans="1:14" ht="18" x14ac:dyDescent="0.25">
      <c r="A8" s="8">
        <v>4</v>
      </c>
      <c r="B8" s="20">
        <v>4</v>
      </c>
      <c r="C8" s="91">
        <f>Apartment4!D4</f>
        <v>1200</v>
      </c>
      <c r="D8" s="92"/>
      <c r="E8" s="94">
        <f t="shared" si="0"/>
        <v>-1200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2400</v>
      </c>
      <c r="D11" s="92"/>
      <c r="E11" s="94">
        <f t="shared" si="0"/>
        <v>-2400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10" t="s">
        <v>118</v>
      </c>
      <c r="J20" s="110"/>
      <c r="K20" s="110"/>
      <c r="L20" s="110"/>
      <c r="M20" s="110"/>
      <c r="N20" s="110"/>
    </row>
    <row r="21" spans="1:17" ht="23.25" x14ac:dyDescent="0.35">
      <c r="A21" s="8"/>
      <c r="B21" s="8"/>
      <c r="C21" s="51"/>
      <c r="D21" s="33"/>
      <c r="E21" s="8"/>
      <c r="F21" s="8"/>
      <c r="G21" s="8"/>
      <c r="H21" s="2"/>
      <c r="I21" s="110" t="s">
        <v>238</v>
      </c>
      <c r="J21" s="110"/>
      <c r="K21" s="110"/>
      <c r="L21" s="110"/>
      <c r="M21" s="110"/>
      <c r="N21" s="110"/>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11"/>
      <c r="K23" s="111"/>
      <c r="L23" s="111"/>
      <c r="M23" s="111"/>
      <c r="N23" s="111"/>
      <c r="O23" s="111"/>
      <c r="P23" s="111"/>
    </row>
    <row r="24" spans="1:17" ht="18" x14ac:dyDescent="0.25">
      <c r="A24" s="8"/>
      <c r="B24" s="8"/>
      <c r="C24" s="51"/>
      <c r="D24" s="33"/>
      <c r="E24" s="8"/>
      <c r="F24" s="8"/>
      <c r="G24" s="8">
        <v>1</v>
      </c>
      <c r="H24" s="8"/>
      <c r="I24" s="8"/>
      <c r="J24" s="111"/>
      <c r="K24" s="111"/>
      <c r="L24" s="111"/>
      <c r="M24" s="111"/>
      <c r="N24" s="111"/>
      <c r="O24" s="111"/>
      <c r="P24" s="111"/>
    </row>
    <row r="25" spans="1:17" ht="36" customHeight="1" x14ac:dyDescent="0.25">
      <c r="A25" s="8"/>
      <c r="B25" s="8"/>
      <c r="C25" s="51"/>
      <c r="D25" s="33"/>
      <c r="E25" s="8"/>
      <c r="F25" s="8"/>
      <c r="G25" s="48">
        <v>2</v>
      </c>
      <c r="H25" s="48"/>
      <c r="I25" s="48"/>
      <c r="J25" s="111"/>
      <c r="K25" s="111"/>
      <c r="L25" s="111"/>
      <c r="M25" s="111"/>
      <c r="N25" s="111"/>
      <c r="O25" s="111"/>
      <c r="P25" s="111"/>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1" t="s">
        <v>77</v>
      </c>
      <c r="S5" s="102"/>
      <c r="T5" s="102"/>
      <c r="U5" s="103"/>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4"/>
      <c r="S12" s="105"/>
      <c r="T12" s="105"/>
      <c r="U12" s="106"/>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C14" sqref="C14"/>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4" sqref="C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1200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4" sqref="C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1200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C13" sqref="C13"/>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825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8" workbookViewId="0">
      <selection activeCell="B75" sqref="B75"/>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16675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16675</v>
      </c>
      <c r="D5" s="71">
        <f>outcomes!C3</f>
        <v>20246</v>
      </c>
      <c r="E5" s="72">
        <f>(C3+C5)-D5</f>
        <v>10331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29" workbookViewId="0">
      <selection activeCell="B45" sqref="B4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20246</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2026-09-01T06:56:02Z</dcterms:modified>
</cp:coreProperties>
</file>